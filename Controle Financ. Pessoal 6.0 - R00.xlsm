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slicers/slicer3.xml" ContentType="application/vnd.ms-excel.slicer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guilherme.batista\Documents\CertificadosPessoais\"/>
    </mc:Choice>
  </mc:AlternateContent>
  <xr:revisionPtr revIDLastSave="0" documentId="13_ncr:1_{519AFD59-DF47-4F92-B364-4AB7474C3E09}" xr6:coauthVersionLast="47" xr6:coauthVersionMax="47" xr10:uidLastSave="{00000000-0000-0000-0000-000000000000}"/>
  <bookViews>
    <workbookView xWindow="28680" yWindow="-120" windowWidth="29040" windowHeight="15720" tabRatio="797" activeTab="2" xr2:uid="{4CD7254E-BC20-4CF9-8944-C1428346EC60}"/>
  </bookViews>
  <sheets>
    <sheet name="DASHBOARD" sheetId="1" r:id="rId1"/>
    <sheet name="FLUXO" sheetId="2" r:id="rId2"/>
    <sheet name="LANCAMENTO" sheetId="3" r:id="rId3"/>
    <sheet name="PATRIMONIO" sheetId="6" r:id="rId4"/>
    <sheet name="PROJETOS" sheetId="7" r:id="rId5"/>
    <sheet name="REGISTRO" sheetId="4" r:id="rId6"/>
    <sheet name="CONFIGURACAO" sheetId="5" r:id="rId7"/>
    <sheet name="BASE_APOIO" sheetId="8" state="hidden" r:id="rId8"/>
  </sheets>
  <functionGroups builtInGroupCount="19"/>
  <definedNames>
    <definedName name="_xleta.MAX" hidden="1" xlm="1">#NAME?</definedName>
    <definedName name="ClassProj">BASE_APOIO!$AL$3:$AM$8</definedName>
    <definedName name="Despesa">BASE_APOIO!$H$1</definedName>
    <definedName name="GastoCartao">BASE_APOIO!$W$2</definedName>
    <definedName name="ListaCategoria">TabCategoria[Classificação]</definedName>
    <definedName name="ListaCentroCusto">TabPessoas[PESSOAS]</definedName>
    <definedName name="ListaInst">TabInst[DESCRIÇÃO]</definedName>
    <definedName name="ListaInst1">TabInst[INSTITUIÇÃO]</definedName>
    <definedName name="ListaPessoas">TabPessoas[PESSOAS]</definedName>
    <definedName name="OrcamentoMensal">CONFIGURACAO!$G$3</definedName>
    <definedName name="PercApos">PROJETOS!$M$12</definedName>
    <definedName name="PercCur">PROJETOS!$J$12</definedName>
    <definedName name="PercLon">PROJETOS!$L$12</definedName>
    <definedName name="PercMed">PROJETOS!$K$12</definedName>
    <definedName name="PercRes">PROJETOS!$I$12</definedName>
    <definedName name="Receita">BASE_APOIO!$D$1</definedName>
    <definedName name="ResumoBancos">BASE_APOIO!$AE$4:$AF$9</definedName>
    <definedName name="Saldo">BASE_APOIO!$R$2</definedName>
    <definedName name="SaldoTotal">BASE_APOIO!$AD$1</definedName>
    <definedName name="SegmentaçãodeDados_ANO">#N/A</definedName>
    <definedName name="SegmentaçãodeDados_ANO1">#N/A</definedName>
    <definedName name="SegmentaçãodeDados_INST_SIMPLES">#N/A</definedName>
    <definedName name="SegmentaçãodeDados_MÊS">#N/A</definedName>
    <definedName name="SegmentaçãodeDados_Pessoa">#N/A</definedName>
    <definedName name="SegmentaçãodeDados_Status">#N/A</definedName>
    <definedName name="SegmentaçãodeDados_Status1">#N/A</definedName>
    <definedName name="ValorAposen">PROJETOS!$M$10</definedName>
  </definedNames>
  <calcPr calcId="191029"/>
  <pivotCaches>
    <pivotCache cacheId="120" r:id="rId9"/>
    <pivotCache cacheId="134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05" i="3" l="1"/>
  <c r="K205" i="3"/>
  <c r="L205" i="3"/>
  <c r="M205" i="3"/>
  <c r="Q205" i="3"/>
  <c r="R205" i="3"/>
  <c r="S205" i="3"/>
  <c r="T205" i="3"/>
  <c r="J204" i="3"/>
  <c r="K204" i="3"/>
  <c r="L204" i="3"/>
  <c r="M204" i="3"/>
  <c r="Q204" i="3"/>
  <c r="R204" i="3"/>
  <c r="S204" i="3"/>
  <c r="T204" i="3"/>
  <c r="J203" i="3"/>
  <c r="K203" i="3"/>
  <c r="L203" i="3"/>
  <c r="M203" i="3"/>
  <c r="Q203" i="3"/>
  <c r="R203" i="3"/>
  <c r="S203" i="3"/>
  <c r="T203" i="3"/>
  <c r="J202" i="3"/>
  <c r="K202" i="3"/>
  <c r="L202" i="3"/>
  <c r="M202" i="3"/>
  <c r="Q202" i="3"/>
  <c r="R202" i="3"/>
  <c r="S202" i="3"/>
  <c r="T202" i="3"/>
  <c r="W202" i="3"/>
  <c r="J201" i="3"/>
  <c r="K201" i="3"/>
  <c r="L201" i="3"/>
  <c r="M201" i="3"/>
  <c r="Q201" i="3"/>
  <c r="R201" i="3"/>
  <c r="S201" i="3"/>
  <c r="T201" i="3"/>
  <c r="J200" i="3"/>
  <c r="K200" i="3"/>
  <c r="L200" i="3"/>
  <c r="M200" i="3"/>
  <c r="Q200" i="3"/>
  <c r="R200" i="3"/>
  <c r="S200" i="3"/>
  <c r="T200" i="3"/>
  <c r="J199" i="3"/>
  <c r="K199" i="3"/>
  <c r="L199" i="3"/>
  <c r="M199" i="3"/>
  <c r="Q199" i="3"/>
  <c r="R199" i="3"/>
  <c r="S199" i="3"/>
  <c r="T199" i="3"/>
  <c r="J198" i="3"/>
  <c r="K198" i="3"/>
  <c r="L198" i="3"/>
  <c r="M198" i="3"/>
  <c r="Q198" i="3"/>
  <c r="R198" i="3"/>
  <c r="S198" i="3"/>
  <c r="T198" i="3"/>
  <c r="W198" i="3"/>
  <c r="J197" i="3"/>
  <c r="K197" i="3"/>
  <c r="L197" i="3"/>
  <c r="M197" i="3"/>
  <c r="N197" i="3"/>
  <c r="Q197" i="3"/>
  <c r="R197" i="3"/>
  <c r="S197" i="3"/>
  <c r="T197" i="3"/>
  <c r="U197" i="3"/>
  <c r="V197" i="3"/>
  <c r="W197" i="3"/>
  <c r="J196" i="3"/>
  <c r="K196" i="3"/>
  <c r="L196" i="3"/>
  <c r="M196" i="3"/>
  <c r="N196" i="3"/>
  <c r="Q196" i="3"/>
  <c r="R196" i="3"/>
  <c r="S196" i="3"/>
  <c r="T196" i="3"/>
  <c r="U196" i="3"/>
  <c r="V196" i="3"/>
  <c r="W196" i="3"/>
  <c r="J195" i="3"/>
  <c r="K195" i="3"/>
  <c r="L195" i="3"/>
  <c r="M195" i="3"/>
  <c r="N195" i="3"/>
  <c r="Q195" i="3"/>
  <c r="R195" i="3"/>
  <c r="S195" i="3"/>
  <c r="T195" i="3"/>
  <c r="U195" i="3"/>
  <c r="V195" i="3"/>
  <c r="W195" i="3"/>
  <c r="J194" i="3"/>
  <c r="K194" i="3"/>
  <c r="L194" i="3"/>
  <c r="M194" i="3"/>
  <c r="N194" i="3"/>
  <c r="Q194" i="3"/>
  <c r="R194" i="3"/>
  <c r="S194" i="3"/>
  <c r="T194" i="3"/>
  <c r="U194" i="3"/>
  <c r="V194" i="3"/>
  <c r="W194" i="3"/>
  <c r="J193" i="3"/>
  <c r="K193" i="3"/>
  <c r="W193" i="3" s="1"/>
  <c r="L193" i="3"/>
  <c r="M193" i="3"/>
  <c r="Q193" i="3"/>
  <c r="R193" i="3"/>
  <c r="S193" i="3"/>
  <c r="T193" i="3"/>
  <c r="J67" i="3"/>
  <c r="K67" i="3"/>
  <c r="W67" i="3" s="1"/>
  <c r="L67" i="3"/>
  <c r="N67" i="3" s="1"/>
  <c r="M67" i="3"/>
  <c r="Q67" i="3"/>
  <c r="R67" i="3"/>
  <c r="S67" i="3"/>
  <c r="T67" i="3"/>
  <c r="J192" i="3"/>
  <c r="K192" i="3"/>
  <c r="W192" i="3" s="1"/>
  <c r="L192" i="3"/>
  <c r="U192" i="3" s="1"/>
  <c r="M192" i="3"/>
  <c r="Q192" i="3"/>
  <c r="R192" i="3"/>
  <c r="S192" i="3"/>
  <c r="T192" i="3"/>
  <c r="J191" i="3"/>
  <c r="K191" i="3"/>
  <c r="W191" i="3" s="1"/>
  <c r="L191" i="3"/>
  <c r="U191" i="3" s="1"/>
  <c r="M191" i="3"/>
  <c r="Q191" i="3"/>
  <c r="R191" i="3"/>
  <c r="S191" i="3"/>
  <c r="T191" i="3"/>
  <c r="J190" i="3"/>
  <c r="K190" i="3"/>
  <c r="W190" i="3" s="1"/>
  <c r="L190" i="3"/>
  <c r="U190" i="3" s="1"/>
  <c r="M190" i="3"/>
  <c r="Q190" i="3"/>
  <c r="R190" i="3"/>
  <c r="S190" i="3"/>
  <c r="T190" i="3"/>
  <c r="J189" i="3"/>
  <c r="K189" i="3"/>
  <c r="W189" i="3" s="1"/>
  <c r="L189" i="3"/>
  <c r="N189" i="3" s="1"/>
  <c r="M189" i="3"/>
  <c r="Q189" i="3"/>
  <c r="R189" i="3"/>
  <c r="S189" i="3"/>
  <c r="T189" i="3"/>
  <c r="J188" i="3"/>
  <c r="K188" i="3"/>
  <c r="W188" i="3" s="1"/>
  <c r="L188" i="3"/>
  <c r="U188" i="3" s="1"/>
  <c r="M188" i="3"/>
  <c r="Q188" i="3"/>
  <c r="R188" i="3"/>
  <c r="S188" i="3"/>
  <c r="T188" i="3"/>
  <c r="J187" i="3"/>
  <c r="K187" i="3"/>
  <c r="W187" i="3" s="1"/>
  <c r="L187" i="3"/>
  <c r="U187" i="3" s="1"/>
  <c r="M187" i="3"/>
  <c r="Q187" i="3"/>
  <c r="R187" i="3"/>
  <c r="S187" i="3"/>
  <c r="T187" i="3"/>
  <c r="J186" i="3"/>
  <c r="K186" i="3"/>
  <c r="W186" i="3" s="1"/>
  <c r="L186" i="3"/>
  <c r="U186" i="3" s="1"/>
  <c r="M186" i="3"/>
  <c r="Q186" i="3"/>
  <c r="R186" i="3"/>
  <c r="S186" i="3"/>
  <c r="T186" i="3"/>
  <c r="J185" i="3"/>
  <c r="K185" i="3"/>
  <c r="W185" i="3" s="1"/>
  <c r="L185" i="3"/>
  <c r="U185" i="3" s="1"/>
  <c r="M185" i="3"/>
  <c r="Q185" i="3"/>
  <c r="R185" i="3"/>
  <c r="S185" i="3"/>
  <c r="T185" i="3"/>
  <c r="J184" i="3"/>
  <c r="K184" i="3"/>
  <c r="W184" i="3" s="1"/>
  <c r="L184" i="3"/>
  <c r="N184" i="3" s="1"/>
  <c r="M184" i="3"/>
  <c r="Q184" i="3"/>
  <c r="R184" i="3"/>
  <c r="S184" i="3"/>
  <c r="T184" i="3"/>
  <c r="J183" i="3"/>
  <c r="K183" i="3"/>
  <c r="W183" i="3" s="1"/>
  <c r="L183" i="3"/>
  <c r="U183" i="3" s="1"/>
  <c r="M183" i="3"/>
  <c r="Q183" i="3"/>
  <c r="R183" i="3"/>
  <c r="S183" i="3"/>
  <c r="T183" i="3"/>
  <c r="J182" i="3"/>
  <c r="K182" i="3"/>
  <c r="W182" i="3" s="1"/>
  <c r="L182" i="3"/>
  <c r="U182" i="3" s="1"/>
  <c r="M182" i="3"/>
  <c r="Q182" i="3"/>
  <c r="R182" i="3"/>
  <c r="S182" i="3"/>
  <c r="T182" i="3"/>
  <c r="J181" i="3"/>
  <c r="K181" i="3"/>
  <c r="W181" i="3" s="1"/>
  <c r="L181" i="3"/>
  <c r="N181" i="3" s="1"/>
  <c r="M181" i="3"/>
  <c r="Q181" i="3"/>
  <c r="R181" i="3"/>
  <c r="S181" i="3"/>
  <c r="T181" i="3"/>
  <c r="J180" i="3"/>
  <c r="K180" i="3"/>
  <c r="W180" i="3" s="1"/>
  <c r="L180" i="3"/>
  <c r="U180" i="3" s="1"/>
  <c r="M180" i="3"/>
  <c r="Q180" i="3"/>
  <c r="R180" i="3"/>
  <c r="S180" i="3"/>
  <c r="T180" i="3"/>
  <c r="J179" i="3"/>
  <c r="K179" i="3"/>
  <c r="W179" i="3" s="1"/>
  <c r="L179" i="3"/>
  <c r="U179" i="3" s="1"/>
  <c r="M179" i="3"/>
  <c r="Q179" i="3"/>
  <c r="R179" i="3"/>
  <c r="S179" i="3"/>
  <c r="T179" i="3"/>
  <c r="J178" i="3"/>
  <c r="K178" i="3"/>
  <c r="W178" i="3" s="1"/>
  <c r="L178" i="3"/>
  <c r="U178" i="3" s="1"/>
  <c r="M178" i="3"/>
  <c r="Q178" i="3"/>
  <c r="R178" i="3"/>
  <c r="S178" i="3"/>
  <c r="T178" i="3"/>
  <c r="J177" i="3"/>
  <c r="K177" i="3"/>
  <c r="W177" i="3" s="1"/>
  <c r="L177" i="3"/>
  <c r="U177" i="3" s="1"/>
  <c r="M177" i="3"/>
  <c r="Q177" i="3"/>
  <c r="R177" i="3"/>
  <c r="S177" i="3"/>
  <c r="T177" i="3"/>
  <c r="J176" i="3"/>
  <c r="K176" i="3"/>
  <c r="W176" i="3" s="1"/>
  <c r="L176" i="3"/>
  <c r="U176" i="3" s="1"/>
  <c r="M176" i="3"/>
  <c r="Q176" i="3"/>
  <c r="R176" i="3"/>
  <c r="S176" i="3"/>
  <c r="T176" i="3"/>
  <c r="J165" i="3"/>
  <c r="K165" i="3"/>
  <c r="W165" i="3" s="1"/>
  <c r="L165" i="3"/>
  <c r="U165" i="3" s="1"/>
  <c r="M165" i="3"/>
  <c r="Q165" i="3"/>
  <c r="R165" i="3"/>
  <c r="S165" i="3"/>
  <c r="T165" i="3"/>
  <c r="J154" i="3"/>
  <c r="K154" i="3"/>
  <c r="W154" i="3" s="1"/>
  <c r="L154" i="3"/>
  <c r="U154" i="3" s="1"/>
  <c r="M154" i="3"/>
  <c r="Q154" i="3"/>
  <c r="R154" i="3"/>
  <c r="S154" i="3"/>
  <c r="T154" i="3"/>
  <c r="J143" i="3"/>
  <c r="K143" i="3"/>
  <c r="W143" i="3" s="1"/>
  <c r="L143" i="3"/>
  <c r="N143" i="3" s="1"/>
  <c r="M143" i="3"/>
  <c r="Q143" i="3"/>
  <c r="R143" i="3"/>
  <c r="S143" i="3"/>
  <c r="T143" i="3"/>
  <c r="J124" i="3"/>
  <c r="K124" i="3"/>
  <c r="W124" i="3" s="1"/>
  <c r="L124" i="3"/>
  <c r="U124" i="3" s="1"/>
  <c r="M124" i="3"/>
  <c r="Q124" i="3"/>
  <c r="R124" i="3"/>
  <c r="S124" i="3"/>
  <c r="T124" i="3"/>
  <c r="J105" i="3"/>
  <c r="K105" i="3"/>
  <c r="W105" i="3" s="1"/>
  <c r="L105" i="3"/>
  <c r="U105" i="3" s="1"/>
  <c r="M105" i="3"/>
  <c r="Q105" i="3"/>
  <c r="R105" i="3"/>
  <c r="S105" i="3"/>
  <c r="T105" i="3"/>
  <c r="J86" i="3"/>
  <c r="K86" i="3"/>
  <c r="W86" i="3" s="1"/>
  <c r="L86" i="3"/>
  <c r="U86" i="3" s="1"/>
  <c r="M86" i="3"/>
  <c r="Q86" i="3"/>
  <c r="R86" i="3"/>
  <c r="S86" i="3"/>
  <c r="T86" i="3"/>
  <c r="J66" i="3"/>
  <c r="K66" i="3"/>
  <c r="W66" i="3" s="1"/>
  <c r="L66" i="3"/>
  <c r="U66" i="3" s="1"/>
  <c r="M66" i="3"/>
  <c r="Q66" i="3"/>
  <c r="R66" i="3"/>
  <c r="S66" i="3"/>
  <c r="T66" i="3"/>
  <c r="J65" i="3"/>
  <c r="K65" i="3"/>
  <c r="W65" i="3" s="1"/>
  <c r="L65" i="3"/>
  <c r="N65" i="3" s="1"/>
  <c r="M65" i="3"/>
  <c r="Q65" i="3"/>
  <c r="R65" i="3"/>
  <c r="S65" i="3"/>
  <c r="T65" i="3"/>
  <c r="J64" i="3"/>
  <c r="K64" i="3"/>
  <c r="W64" i="3" s="1"/>
  <c r="L64" i="3"/>
  <c r="N64" i="3" s="1"/>
  <c r="M64" i="3"/>
  <c r="Q64" i="3"/>
  <c r="R64" i="3"/>
  <c r="S64" i="3"/>
  <c r="T64" i="3"/>
  <c r="J63" i="3"/>
  <c r="K63" i="3"/>
  <c r="W63" i="3" s="1"/>
  <c r="L63" i="3"/>
  <c r="U63" i="3" s="1"/>
  <c r="M63" i="3"/>
  <c r="Q63" i="3"/>
  <c r="R63" i="3"/>
  <c r="S63" i="3"/>
  <c r="T63" i="3"/>
  <c r="J142" i="3"/>
  <c r="K142" i="3"/>
  <c r="W142" i="3" s="1"/>
  <c r="L142" i="3"/>
  <c r="U142" i="3" s="1"/>
  <c r="M142" i="3"/>
  <c r="Q142" i="3"/>
  <c r="R142" i="3"/>
  <c r="S142" i="3"/>
  <c r="T142" i="3"/>
  <c r="J123" i="3"/>
  <c r="K123" i="3"/>
  <c r="W123" i="3" s="1"/>
  <c r="L123" i="3"/>
  <c r="N123" i="3" s="1"/>
  <c r="M123" i="3"/>
  <c r="Q123" i="3"/>
  <c r="R123" i="3"/>
  <c r="S123" i="3"/>
  <c r="T123" i="3"/>
  <c r="J104" i="3"/>
  <c r="K104" i="3"/>
  <c r="W104" i="3" s="1"/>
  <c r="L104" i="3"/>
  <c r="N104" i="3" s="1"/>
  <c r="M104" i="3"/>
  <c r="Q104" i="3"/>
  <c r="R104" i="3"/>
  <c r="S104" i="3"/>
  <c r="T104" i="3"/>
  <c r="J85" i="3"/>
  <c r="K85" i="3"/>
  <c r="W85" i="3" s="1"/>
  <c r="L85" i="3"/>
  <c r="U85" i="3" s="1"/>
  <c r="M85" i="3"/>
  <c r="Q85" i="3"/>
  <c r="R85" i="3"/>
  <c r="S85" i="3"/>
  <c r="T85" i="3"/>
  <c r="J45" i="3"/>
  <c r="K45" i="3"/>
  <c r="W45" i="3" s="1"/>
  <c r="L45" i="3"/>
  <c r="U45" i="3" s="1"/>
  <c r="M45" i="3"/>
  <c r="Q45" i="3"/>
  <c r="R45" i="3"/>
  <c r="S45" i="3"/>
  <c r="T45" i="3"/>
  <c r="J43" i="3"/>
  <c r="K43" i="3"/>
  <c r="W43" i="3" s="1"/>
  <c r="L43" i="3"/>
  <c r="N43" i="3" s="1"/>
  <c r="M43" i="3"/>
  <c r="Q43" i="3"/>
  <c r="R43" i="3"/>
  <c r="S43" i="3"/>
  <c r="T43" i="3"/>
  <c r="J167" i="3"/>
  <c r="J168" i="3"/>
  <c r="J169" i="3"/>
  <c r="J170" i="3"/>
  <c r="J171" i="3"/>
  <c r="J172" i="3"/>
  <c r="J173" i="3"/>
  <c r="J174" i="3"/>
  <c r="J175" i="3"/>
  <c r="K167" i="3"/>
  <c r="W167" i="3" s="1"/>
  <c r="K168" i="3"/>
  <c r="W168" i="3" s="1"/>
  <c r="K169" i="3"/>
  <c r="W169" i="3" s="1"/>
  <c r="K170" i="3"/>
  <c r="W170" i="3" s="1"/>
  <c r="K171" i="3"/>
  <c r="W171" i="3" s="1"/>
  <c r="K172" i="3"/>
  <c r="W172" i="3" s="1"/>
  <c r="K173" i="3"/>
  <c r="W173" i="3" s="1"/>
  <c r="K174" i="3"/>
  <c r="W174" i="3" s="1"/>
  <c r="K175" i="3"/>
  <c r="W175" i="3" s="1"/>
  <c r="L167" i="3"/>
  <c r="N167" i="3" s="1"/>
  <c r="L168" i="3"/>
  <c r="N168" i="3" s="1"/>
  <c r="L169" i="3"/>
  <c r="N169" i="3" s="1"/>
  <c r="L170" i="3"/>
  <c r="N170" i="3" s="1"/>
  <c r="L171" i="3"/>
  <c r="N171" i="3" s="1"/>
  <c r="L172" i="3"/>
  <c r="U172" i="3" s="1"/>
  <c r="L173" i="3"/>
  <c r="L174" i="3"/>
  <c r="L175" i="3"/>
  <c r="U175" i="3" s="1"/>
  <c r="M167" i="3"/>
  <c r="M168" i="3"/>
  <c r="M169" i="3"/>
  <c r="M170" i="3"/>
  <c r="M171" i="3"/>
  <c r="M172" i="3"/>
  <c r="M173" i="3"/>
  <c r="M174" i="3"/>
  <c r="M175" i="3"/>
  <c r="Q167" i="3"/>
  <c r="Q168" i="3"/>
  <c r="Q169" i="3"/>
  <c r="Q170" i="3"/>
  <c r="Q171" i="3"/>
  <c r="Q172" i="3"/>
  <c r="Q173" i="3"/>
  <c r="Q174" i="3"/>
  <c r="Q175" i="3"/>
  <c r="R167" i="3"/>
  <c r="R168" i="3"/>
  <c r="R169" i="3"/>
  <c r="R170" i="3"/>
  <c r="R171" i="3"/>
  <c r="R172" i="3"/>
  <c r="R173" i="3"/>
  <c r="R174" i="3"/>
  <c r="R175" i="3"/>
  <c r="S167" i="3"/>
  <c r="S168" i="3"/>
  <c r="S169" i="3"/>
  <c r="S170" i="3"/>
  <c r="S171" i="3"/>
  <c r="S172" i="3"/>
  <c r="S173" i="3"/>
  <c r="S174" i="3"/>
  <c r="S175" i="3"/>
  <c r="T167" i="3"/>
  <c r="T168" i="3"/>
  <c r="T169" i="3"/>
  <c r="T170" i="3"/>
  <c r="T171" i="3"/>
  <c r="T172" i="3"/>
  <c r="T173" i="3"/>
  <c r="T174" i="3"/>
  <c r="T175" i="3"/>
  <c r="J156" i="3"/>
  <c r="J157" i="3"/>
  <c r="J158" i="3"/>
  <c r="J159" i="3"/>
  <c r="J160" i="3"/>
  <c r="J161" i="3"/>
  <c r="J162" i="3"/>
  <c r="J163" i="3"/>
  <c r="J164" i="3"/>
  <c r="K156" i="3"/>
  <c r="W156" i="3" s="1"/>
  <c r="K157" i="3"/>
  <c r="W157" i="3" s="1"/>
  <c r="K158" i="3"/>
  <c r="W158" i="3" s="1"/>
  <c r="K159" i="3"/>
  <c r="W159" i="3" s="1"/>
  <c r="K160" i="3"/>
  <c r="W160" i="3" s="1"/>
  <c r="K161" i="3"/>
  <c r="W161" i="3" s="1"/>
  <c r="K162" i="3"/>
  <c r="W162" i="3" s="1"/>
  <c r="K163" i="3"/>
  <c r="W163" i="3" s="1"/>
  <c r="K164" i="3"/>
  <c r="W164" i="3" s="1"/>
  <c r="L156" i="3"/>
  <c r="N156" i="3" s="1"/>
  <c r="L157" i="3"/>
  <c r="N157" i="3" s="1"/>
  <c r="L158" i="3"/>
  <c r="N158" i="3" s="1"/>
  <c r="L159" i="3"/>
  <c r="N159" i="3" s="1"/>
  <c r="L160" i="3"/>
  <c r="U160" i="3" s="1"/>
  <c r="L161" i="3"/>
  <c r="L162" i="3"/>
  <c r="L163" i="3"/>
  <c r="N163" i="3" s="1"/>
  <c r="L164" i="3"/>
  <c r="U164" i="3" s="1"/>
  <c r="M156" i="3"/>
  <c r="M157" i="3"/>
  <c r="M158" i="3"/>
  <c r="M159" i="3"/>
  <c r="M160" i="3"/>
  <c r="M161" i="3"/>
  <c r="M162" i="3"/>
  <c r="M163" i="3"/>
  <c r="M164" i="3"/>
  <c r="Q156" i="3"/>
  <c r="Q157" i="3"/>
  <c r="Q158" i="3"/>
  <c r="Q159" i="3"/>
  <c r="Q160" i="3"/>
  <c r="Q161" i="3"/>
  <c r="Q162" i="3"/>
  <c r="Q163" i="3"/>
  <c r="Q164" i="3"/>
  <c r="R156" i="3"/>
  <c r="R157" i="3"/>
  <c r="R158" i="3"/>
  <c r="R159" i="3"/>
  <c r="R160" i="3"/>
  <c r="R161" i="3"/>
  <c r="R162" i="3"/>
  <c r="R163" i="3"/>
  <c r="R164" i="3"/>
  <c r="S156" i="3"/>
  <c r="S157" i="3"/>
  <c r="S158" i="3"/>
  <c r="S159" i="3"/>
  <c r="S160" i="3"/>
  <c r="S161" i="3"/>
  <c r="S162" i="3"/>
  <c r="S163" i="3"/>
  <c r="S164" i="3"/>
  <c r="T156" i="3"/>
  <c r="T157" i="3"/>
  <c r="T158" i="3"/>
  <c r="T159" i="3"/>
  <c r="T160" i="3"/>
  <c r="T161" i="3"/>
  <c r="T162" i="3"/>
  <c r="T163" i="3"/>
  <c r="T164" i="3"/>
  <c r="U162" i="3"/>
  <c r="J145" i="3"/>
  <c r="J146" i="3"/>
  <c r="J147" i="3"/>
  <c r="J148" i="3"/>
  <c r="J149" i="3"/>
  <c r="J150" i="3"/>
  <c r="J151" i="3"/>
  <c r="J152" i="3"/>
  <c r="J153" i="3"/>
  <c r="K145" i="3"/>
  <c r="W145" i="3" s="1"/>
  <c r="K146" i="3"/>
  <c r="W146" i="3" s="1"/>
  <c r="K147" i="3"/>
  <c r="W147" i="3" s="1"/>
  <c r="K148" i="3"/>
  <c r="W148" i="3" s="1"/>
  <c r="K149" i="3"/>
  <c r="W149" i="3" s="1"/>
  <c r="K150" i="3"/>
  <c r="W150" i="3" s="1"/>
  <c r="K151" i="3"/>
  <c r="W151" i="3" s="1"/>
  <c r="K152" i="3"/>
  <c r="W152" i="3" s="1"/>
  <c r="K153" i="3"/>
  <c r="W153" i="3" s="1"/>
  <c r="L145" i="3"/>
  <c r="N145" i="3" s="1"/>
  <c r="L146" i="3"/>
  <c r="N146" i="3" s="1"/>
  <c r="L147" i="3"/>
  <c r="N147" i="3" s="1"/>
  <c r="L148" i="3"/>
  <c r="U148" i="3" s="1"/>
  <c r="L149" i="3"/>
  <c r="N149" i="3" s="1"/>
  <c r="L150" i="3"/>
  <c r="N150" i="3" s="1"/>
  <c r="L151" i="3"/>
  <c r="U151" i="3" s="1"/>
  <c r="L152" i="3"/>
  <c r="U152" i="3" s="1"/>
  <c r="L153" i="3"/>
  <c r="N153" i="3" s="1"/>
  <c r="M145" i="3"/>
  <c r="M146" i="3"/>
  <c r="M147" i="3"/>
  <c r="M148" i="3"/>
  <c r="M149" i="3"/>
  <c r="M150" i="3"/>
  <c r="M151" i="3"/>
  <c r="M152" i="3"/>
  <c r="M153" i="3"/>
  <c r="Q145" i="3"/>
  <c r="Q146" i="3"/>
  <c r="Q147" i="3"/>
  <c r="Q148" i="3"/>
  <c r="Q149" i="3"/>
  <c r="Q150" i="3"/>
  <c r="Q151" i="3"/>
  <c r="Q152" i="3"/>
  <c r="Q153" i="3"/>
  <c r="R145" i="3"/>
  <c r="R146" i="3"/>
  <c r="R147" i="3"/>
  <c r="R148" i="3"/>
  <c r="R149" i="3"/>
  <c r="R150" i="3"/>
  <c r="R151" i="3"/>
  <c r="R152" i="3"/>
  <c r="R153" i="3"/>
  <c r="S145" i="3"/>
  <c r="S146" i="3"/>
  <c r="S147" i="3"/>
  <c r="S148" i="3"/>
  <c r="S149" i="3"/>
  <c r="S150" i="3"/>
  <c r="S151" i="3"/>
  <c r="S152" i="3"/>
  <c r="S153" i="3"/>
  <c r="T145" i="3"/>
  <c r="T146" i="3"/>
  <c r="T147" i="3"/>
  <c r="T148" i="3"/>
  <c r="T149" i="3"/>
  <c r="T150" i="3"/>
  <c r="T151" i="3"/>
  <c r="T152" i="3"/>
  <c r="T153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K129" i="3"/>
  <c r="W129" i="3" s="1"/>
  <c r="K130" i="3"/>
  <c r="W130" i="3" s="1"/>
  <c r="K131" i="3"/>
  <c r="W131" i="3" s="1"/>
  <c r="K132" i="3"/>
  <c r="W132" i="3" s="1"/>
  <c r="K133" i="3"/>
  <c r="W133" i="3" s="1"/>
  <c r="K134" i="3"/>
  <c r="W134" i="3" s="1"/>
  <c r="K135" i="3"/>
  <c r="W135" i="3" s="1"/>
  <c r="K136" i="3"/>
  <c r="W136" i="3" s="1"/>
  <c r="K137" i="3"/>
  <c r="W137" i="3" s="1"/>
  <c r="K138" i="3"/>
  <c r="W138" i="3" s="1"/>
  <c r="K139" i="3"/>
  <c r="W139" i="3" s="1"/>
  <c r="K140" i="3"/>
  <c r="W140" i="3" s="1"/>
  <c r="K141" i="3"/>
  <c r="W141" i="3" s="1"/>
  <c r="L129" i="3"/>
  <c r="N129" i="3" s="1"/>
  <c r="L130" i="3"/>
  <c r="N130" i="3" s="1"/>
  <c r="L131" i="3"/>
  <c r="U131" i="3" s="1"/>
  <c r="L132" i="3"/>
  <c r="N132" i="3" s="1"/>
  <c r="L133" i="3"/>
  <c r="N133" i="3" s="1"/>
  <c r="L134" i="3"/>
  <c r="U134" i="3" s="1"/>
  <c r="L135" i="3"/>
  <c r="U135" i="3" s="1"/>
  <c r="L136" i="3"/>
  <c r="N136" i="3" s="1"/>
  <c r="L137" i="3"/>
  <c r="N137" i="3" s="1"/>
  <c r="L138" i="3"/>
  <c r="N138" i="3" s="1"/>
  <c r="L139" i="3"/>
  <c r="N139" i="3" s="1"/>
  <c r="L140" i="3"/>
  <c r="N140" i="3" s="1"/>
  <c r="L141" i="3"/>
  <c r="N141" i="3" s="1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J128" i="3"/>
  <c r="K128" i="3"/>
  <c r="W128" i="3" s="1"/>
  <c r="L128" i="3"/>
  <c r="N128" i="3" s="1"/>
  <c r="M128" i="3"/>
  <c r="Q128" i="3"/>
  <c r="R128" i="3"/>
  <c r="S128" i="3"/>
  <c r="T128" i="3"/>
  <c r="J127" i="3"/>
  <c r="K127" i="3"/>
  <c r="W127" i="3" s="1"/>
  <c r="L127" i="3"/>
  <c r="N127" i="3" s="1"/>
  <c r="M127" i="3"/>
  <c r="Q127" i="3"/>
  <c r="R127" i="3"/>
  <c r="S127" i="3"/>
  <c r="T127" i="3"/>
  <c r="J126" i="3"/>
  <c r="K126" i="3"/>
  <c r="W126" i="3" s="1"/>
  <c r="L126" i="3"/>
  <c r="N126" i="3" s="1"/>
  <c r="M126" i="3"/>
  <c r="Q126" i="3"/>
  <c r="R126" i="3"/>
  <c r="S126" i="3"/>
  <c r="T12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K107" i="3"/>
  <c r="W107" i="3" s="1"/>
  <c r="K108" i="3"/>
  <c r="W108" i="3" s="1"/>
  <c r="K109" i="3"/>
  <c r="W109" i="3" s="1"/>
  <c r="K110" i="3"/>
  <c r="W110" i="3" s="1"/>
  <c r="K111" i="3"/>
  <c r="W111" i="3" s="1"/>
  <c r="K112" i="3"/>
  <c r="W112" i="3" s="1"/>
  <c r="K113" i="3"/>
  <c r="W113" i="3" s="1"/>
  <c r="K114" i="3"/>
  <c r="W114" i="3" s="1"/>
  <c r="K115" i="3"/>
  <c r="W115" i="3" s="1"/>
  <c r="K116" i="3"/>
  <c r="W116" i="3" s="1"/>
  <c r="K117" i="3"/>
  <c r="W117" i="3" s="1"/>
  <c r="K118" i="3"/>
  <c r="W118" i="3" s="1"/>
  <c r="K119" i="3"/>
  <c r="W119" i="3" s="1"/>
  <c r="K120" i="3"/>
  <c r="W120" i="3" s="1"/>
  <c r="K121" i="3"/>
  <c r="W121" i="3" s="1"/>
  <c r="K122" i="3"/>
  <c r="W122" i="3" s="1"/>
  <c r="L107" i="3"/>
  <c r="N107" i="3" s="1"/>
  <c r="L108" i="3"/>
  <c r="U108" i="3" s="1"/>
  <c r="L109" i="3"/>
  <c r="U109" i="3" s="1"/>
  <c r="L110" i="3"/>
  <c r="N110" i="3" s="1"/>
  <c r="L111" i="3"/>
  <c r="N111" i="3" s="1"/>
  <c r="L112" i="3"/>
  <c r="U112" i="3" s="1"/>
  <c r="L113" i="3"/>
  <c r="N113" i="3" s="1"/>
  <c r="L114" i="3"/>
  <c r="N114" i="3" s="1"/>
  <c r="L115" i="3"/>
  <c r="N115" i="3" s="1"/>
  <c r="L116" i="3"/>
  <c r="N116" i="3" s="1"/>
  <c r="L117" i="3"/>
  <c r="N117" i="3" s="1"/>
  <c r="L118" i="3"/>
  <c r="N118" i="3" s="1"/>
  <c r="L119" i="3"/>
  <c r="N119" i="3" s="1"/>
  <c r="L120" i="3"/>
  <c r="U120" i="3" s="1"/>
  <c r="L121" i="3"/>
  <c r="U121" i="3" s="1"/>
  <c r="L122" i="3"/>
  <c r="U122" i="3" s="1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J103" i="3"/>
  <c r="K103" i="3"/>
  <c r="W103" i="3" s="1"/>
  <c r="L103" i="3"/>
  <c r="N103" i="3" s="1"/>
  <c r="M103" i="3"/>
  <c r="Q103" i="3"/>
  <c r="R103" i="3"/>
  <c r="S103" i="3"/>
  <c r="T103" i="3"/>
  <c r="J102" i="3"/>
  <c r="K102" i="3"/>
  <c r="W102" i="3" s="1"/>
  <c r="L102" i="3"/>
  <c r="N102" i="3" s="1"/>
  <c r="M102" i="3"/>
  <c r="Q102" i="3"/>
  <c r="R102" i="3"/>
  <c r="S102" i="3"/>
  <c r="T102" i="3"/>
  <c r="J101" i="3"/>
  <c r="K101" i="3"/>
  <c r="W101" i="3" s="1"/>
  <c r="L101" i="3"/>
  <c r="N101" i="3" s="1"/>
  <c r="M101" i="3"/>
  <c r="Q101" i="3"/>
  <c r="R101" i="3"/>
  <c r="S101" i="3"/>
  <c r="T101" i="3"/>
  <c r="J100" i="3"/>
  <c r="K100" i="3"/>
  <c r="W100" i="3" s="1"/>
  <c r="L100" i="3"/>
  <c r="N100" i="3" s="1"/>
  <c r="M100" i="3"/>
  <c r="Q100" i="3"/>
  <c r="R100" i="3"/>
  <c r="S100" i="3"/>
  <c r="T100" i="3"/>
  <c r="J99" i="3"/>
  <c r="K99" i="3"/>
  <c r="W99" i="3" s="1"/>
  <c r="L99" i="3"/>
  <c r="N99" i="3" s="1"/>
  <c r="M99" i="3"/>
  <c r="Q99" i="3"/>
  <c r="R99" i="3"/>
  <c r="S99" i="3"/>
  <c r="T99" i="3"/>
  <c r="J98" i="3"/>
  <c r="K98" i="3"/>
  <c r="W98" i="3" s="1"/>
  <c r="L98" i="3"/>
  <c r="N98" i="3" s="1"/>
  <c r="M98" i="3"/>
  <c r="Q98" i="3"/>
  <c r="R98" i="3"/>
  <c r="S98" i="3"/>
  <c r="T98" i="3"/>
  <c r="J97" i="3"/>
  <c r="K97" i="3"/>
  <c r="W97" i="3" s="1"/>
  <c r="L97" i="3"/>
  <c r="N97" i="3" s="1"/>
  <c r="M97" i="3"/>
  <c r="Q97" i="3"/>
  <c r="R97" i="3"/>
  <c r="S97" i="3"/>
  <c r="T97" i="3"/>
  <c r="J96" i="3"/>
  <c r="K96" i="3"/>
  <c r="W96" i="3" s="1"/>
  <c r="L96" i="3"/>
  <c r="N96" i="3" s="1"/>
  <c r="M96" i="3"/>
  <c r="Q96" i="3"/>
  <c r="R96" i="3"/>
  <c r="S96" i="3"/>
  <c r="T96" i="3"/>
  <c r="J95" i="3"/>
  <c r="K95" i="3"/>
  <c r="W95" i="3" s="1"/>
  <c r="L95" i="3"/>
  <c r="N95" i="3" s="1"/>
  <c r="M95" i="3"/>
  <c r="Q95" i="3"/>
  <c r="R95" i="3"/>
  <c r="S95" i="3"/>
  <c r="T95" i="3"/>
  <c r="J94" i="3"/>
  <c r="K94" i="3"/>
  <c r="W94" i="3" s="1"/>
  <c r="L94" i="3"/>
  <c r="N94" i="3" s="1"/>
  <c r="M94" i="3"/>
  <c r="Q94" i="3"/>
  <c r="R94" i="3"/>
  <c r="S94" i="3"/>
  <c r="T94" i="3"/>
  <c r="J93" i="3"/>
  <c r="K93" i="3"/>
  <c r="W93" i="3" s="1"/>
  <c r="L93" i="3"/>
  <c r="N93" i="3" s="1"/>
  <c r="M93" i="3"/>
  <c r="Q93" i="3"/>
  <c r="R93" i="3"/>
  <c r="S93" i="3"/>
  <c r="T93" i="3"/>
  <c r="J92" i="3"/>
  <c r="K92" i="3"/>
  <c r="W92" i="3" s="1"/>
  <c r="L92" i="3"/>
  <c r="N92" i="3" s="1"/>
  <c r="M92" i="3"/>
  <c r="Q92" i="3"/>
  <c r="R92" i="3"/>
  <c r="S92" i="3"/>
  <c r="T92" i="3"/>
  <c r="J91" i="3"/>
  <c r="K91" i="3"/>
  <c r="W91" i="3" s="1"/>
  <c r="L91" i="3"/>
  <c r="N91" i="3" s="1"/>
  <c r="M91" i="3"/>
  <c r="Q91" i="3"/>
  <c r="R91" i="3"/>
  <c r="S91" i="3"/>
  <c r="T91" i="3"/>
  <c r="J90" i="3"/>
  <c r="K90" i="3"/>
  <c r="W90" i="3" s="1"/>
  <c r="L90" i="3"/>
  <c r="N90" i="3" s="1"/>
  <c r="M90" i="3"/>
  <c r="Q90" i="3"/>
  <c r="R90" i="3"/>
  <c r="S90" i="3"/>
  <c r="T90" i="3"/>
  <c r="J89" i="3"/>
  <c r="K89" i="3"/>
  <c r="W89" i="3" s="1"/>
  <c r="L89" i="3"/>
  <c r="N89" i="3" s="1"/>
  <c r="M89" i="3"/>
  <c r="Q89" i="3"/>
  <c r="R89" i="3"/>
  <c r="S89" i="3"/>
  <c r="T89" i="3"/>
  <c r="J88" i="3"/>
  <c r="K88" i="3"/>
  <c r="W88" i="3" s="1"/>
  <c r="L88" i="3"/>
  <c r="N88" i="3" s="1"/>
  <c r="M88" i="3"/>
  <c r="Q88" i="3"/>
  <c r="R88" i="3"/>
  <c r="S88" i="3"/>
  <c r="T88" i="3"/>
  <c r="J84" i="3"/>
  <c r="K84" i="3"/>
  <c r="W84" i="3" s="1"/>
  <c r="L84" i="3"/>
  <c r="N84" i="3" s="1"/>
  <c r="M84" i="3"/>
  <c r="Q84" i="3"/>
  <c r="R84" i="3"/>
  <c r="S84" i="3"/>
  <c r="T84" i="3"/>
  <c r="J83" i="3"/>
  <c r="K83" i="3"/>
  <c r="W83" i="3" s="1"/>
  <c r="L83" i="3"/>
  <c r="N83" i="3" s="1"/>
  <c r="M83" i="3"/>
  <c r="Q83" i="3"/>
  <c r="R83" i="3"/>
  <c r="S83" i="3"/>
  <c r="T83" i="3"/>
  <c r="J82" i="3"/>
  <c r="K82" i="3"/>
  <c r="W82" i="3" s="1"/>
  <c r="L82" i="3"/>
  <c r="N82" i="3" s="1"/>
  <c r="M82" i="3"/>
  <c r="Q82" i="3"/>
  <c r="R82" i="3"/>
  <c r="S82" i="3"/>
  <c r="T82" i="3"/>
  <c r="J81" i="3"/>
  <c r="K81" i="3"/>
  <c r="W81" i="3" s="1"/>
  <c r="L81" i="3"/>
  <c r="N81" i="3" s="1"/>
  <c r="M81" i="3"/>
  <c r="Q81" i="3"/>
  <c r="R81" i="3"/>
  <c r="S81" i="3"/>
  <c r="T81" i="3"/>
  <c r="J80" i="3"/>
  <c r="K80" i="3"/>
  <c r="W80" i="3" s="1"/>
  <c r="L80" i="3"/>
  <c r="N80" i="3" s="1"/>
  <c r="M80" i="3"/>
  <c r="Q80" i="3"/>
  <c r="R80" i="3"/>
  <c r="S80" i="3"/>
  <c r="T80" i="3"/>
  <c r="J79" i="3"/>
  <c r="K79" i="3"/>
  <c r="W79" i="3" s="1"/>
  <c r="L79" i="3"/>
  <c r="N79" i="3" s="1"/>
  <c r="M79" i="3"/>
  <c r="Q79" i="3"/>
  <c r="R79" i="3"/>
  <c r="S79" i="3"/>
  <c r="T79" i="3"/>
  <c r="J78" i="3"/>
  <c r="K78" i="3"/>
  <c r="W78" i="3" s="1"/>
  <c r="L78" i="3"/>
  <c r="N78" i="3" s="1"/>
  <c r="M78" i="3"/>
  <c r="Q78" i="3"/>
  <c r="R78" i="3"/>
  <c r="S78" i="3"/>
  <c r="T78" i="3"/>
  <c r="J77" i="3"/>
  <c r="K77" i="3"/>
  <c r="W77" i="3" s="1"/>
  <c r="L77" i="3"/>
  <c r="N77" i="3" s="1"/>
  <c r="M77" i="3"/>
  <c r="Q77" i="3"/>
  <c r="R77" i="3"/>
  <c r="S77" i="3"/>
  <c r="T77" i="3"/>
  <c r="J76" i="3"/>
  <c r="K76" i="3"/>
  <c r="W76" i="3" s="1"/>
  <c r="L76" i="3"/>
  <c r="N76" i="3" s="1"/>
  <c r="M76" i="3"/>
  <c r="Q76" i="3"/>
  <c r="R76" i="3"/>
  <c r="S76" i="3"/>
  <c r="T76" i="3"/>
  <c r="J75" i="3"/>
  <c r="K75" i="3"/>
  <c r="W75" i="3" s="1"/>
  <c r="L75" i="3"/>
  <c r="N75" i="3" s="1"/>
  <c r="M75" i="3"/>
  <c r="Q75" i="3"/>
  <c r="R75" i="3"/>
  <c r="S75" i="3"/>
  <c r="T75" i="3"/>
  <c r="J74" i="3"/>
  <c r="K74" i="3"/>
  <c r="W74" i="3" s="1"/>
  <c r="L74" i="3"/>
  <c r="N74" i="3" s="1"/>
  <c r="M74" i="3"/>
  <c r="Q74" i="3"/>
  <c r="R74" i="3"/>
  <c r="S74" i="3"/>
  <c r="T74" i="3"/>
  <c r="J73" i="3"/>
  <c r="K73" i="3"/>
  <c r="W73" i="3" s="1"/>
  <c r="L73" i="3"/>
  <c r="N73" i="3" s="1"/>
  <c r="M73" i="3"/>
  <c r="Q73" i="3"/>
  <c r="R73" i="3"/>
  <c r="S73" i="3"/>
  <c r="T73" i="3"/>
  <c r="J72" i="3"/>
  <c r="K72" i="3"/>
  <c r="W72" i="3" s="1"/>
  <c r="L72" i="3"/>
  <c r="N72" i="3" s="1"/>
  <c r="M72" i="3"/>
  <c r="Q72" i="3"/>
  <c r="R72" i="3"/>
  <c r="S72" i="3"/>
  <c r="T72" i="3"/>
  <c r="J71" i="3"/>
  <c r="K71" i="3"/>
  <c r="W71" i="3" s="1"/>
  <c r="L71" i="3"/>
  <c r="N71" i="3" s="1"/>
  <c r="M71" i="3"/>
  <c r="Q71" i="3"/>
  <c r="R71" i="3"/>
  <c r="S71" i="3"/>
  <c r="T71" i="3"/>
  <c r="J70" i="3"/>
  <c r="K70" i="3"/>
  <c r="W70" i="3" s="1"/>
  <c r="L70" i="3"/>
  <c r="N70" i="3" s="1"/>
  <c r="M70" i="3"/>
  <c r="Q70" i="3"/>
  <c r="R70" i="3"/>
  <c r="S70" i="3"/>
  <c r="T70" i="3"/>
  <c r="J69" i="3"/>
  <c r="K69" i="3"/>
  <c r="W69" i="3" s="1"/>
  <c r="L69" i="3"/>
  <c r="N69" i="3" s="1"/>
  <c r="M69" i="3"/>
  <c r="Q69" i="3"/>
  <c r="R69" i="3"/>
  <c r="S69" i="3"/>
  <c r="T69" i="3"/>
  <c r="J68" i="3"/>
  <c r="K68" i="3"/>
  <c r="W68" i="3" s="1"/>
  <c r="L68" i="3"/>
  <c r="N68" i="3" s="1"/>
  <c r="M68" i="3"/>
  <c r="Q68" i="3"/>
  <c r="R68" i="3"/>
  <c r="S68" i="3"/>
  <c r="T68" i="3"/>
  <c r="J166" i="3"/>
  <c r="K166" i="3"/>
  <c r="W166" i="3" s="1"/>
  <c r="L166" i="3"/>
  <c r="N166" i="3" s="1"/>
  <c r="M166" i="3"/>
  <c r="Q166" i="3"/>
  <c r="R166" i="3"/>
  <c r="S166" i="3"/>
  <c r="T166" i="3"/>
  <c r="J155" i="3"/>
  <c r="K155" i="3"/>
  <c r="W155" i="3" s="1"/>
  <c r="L155" i="3"/>
  <c r="N155" i="3" s="1"/>
  <c r="M155" i="3"/>
  <c r="Q155" i="3"/>
  <c r="R155" i="3"/>
  <c r="S155" i="3"/>
  <c r="T155" i="3"/>
  <c r="J144" i="3"/>
  <c r="K144" i="3"/>
  <c r="W144" i="3" s="1"/>
  <c r="L144" i="3"/>
  <c r="N144" i="3" s="1"/>
  <c r="M144" i="3"/>
  <c r="Q144" i="3"/>
  <c r="R144" i="3"/>
  <c r="S144" i="3"/>
  <c r="T144" i="3"/>
  <c r="J125" i="3"/>
  <c r="K125" i="3"/>
  <c r="W125" i="3" s="1"/>
  <c r="L125" i="3"/>
  <c r="N125" i="3" s="1"/>
  <c r="M125" i="3"/>
  <c r="Q125" i="3"/>
  <c r="R125" i="3"/>
  <c r="S125" i="3"/>
  <c r="T125" i="3"/>
  <c r="J106" i="3"/>
  <c r="K106" i="3"/>
  <c r="W106" i="3" s="1"/>
  <c r="L106" i="3"/>
  <c r="N106" i="3" s="1"/>
  <c r="M106" i="3"/>
  <c r="Q106" i="3"/>
  <c r="R106" i="3"/>
  <c r="S106" i="3"/>
  <c r="T106" i="3"/>
  <c r="J87" i="3"/>
  <c r="K87" i="3"/>
  <c r="W87" i="3" s="1"/>
  <c r="L87" i="3"/>
  <c r="N87" i="3" s="1"/>
  <c r="M87" i="3"/>
  <c r="Q87" i="3"/>
  <c r="R87" i="3"/>
  <c r="S87" i="3"/>
  <c r="T87" i="3"/>
  <c r="J62" i="3"/>
  <c r="K62" i="3"/>
  <c r="W62" i="3" s="1"/>
  <c r="L62" i="3"/>
  <c r="N62" i="3" s="1"/>
  <c r="M62" i="3"/>
  <c r="Q62" i="3"/>
  <c r="R62" i="3"/>
  <c r="S62" i="3"/>
  <c r="T62" i="3"/>
  <c r="J61" i="3"/>
  <c r="K61" i="3"/>
  <c r="W61" i="3" s="1"/>
  <c r="L61" i="3"/>
  <c r="U61" i="3" s="1"/>
  <c r="M61" i="3"/>
  <c r="Q61" i="3"/>
  <c r="R61" i="3"/>
  <c r="S61" i="3"/>
  <c r="T61" i="3"/>
  <c r="J60" i="3"/>
  <c r="K60" i="3"/>
  <c r="W60" i="3" s="1"/>
  <c r="L60" i="3"/>
  <c r="U60" i="3" s="1"/>
  <c r="M60" i="3"/>
  <c r="Q60" i="3"/>
  <c r="R60" i="3"/>
  <c r="S60" i="3"/>
  <c r="T60" i="3"/>
  <c r="J59" i="3"/>
  <c r="K59" i="3"/>
  <c r="W59" i="3" s="1"/>
  <c r="L59" i="3"/>
  <c r="N59" i="3" s="1"/>
  <c r="M59" i="3"/>
  <c r="Q59" i="3"/>
  <c r="R59" i="3"/>
  <c r="S59" i="3"/>
  <c r="T59" i="3"/>
  <c r="J58" i="3"/>
  <c r="K58" i="3"/>
  <c r="W58" i="3" s="1"/>
  <c r="L58" i="3"/>
  <c r="N58" i="3" s="1"/>
  <c r="M58" i="3"/>
  <c r="Q58" i="3"/>
  <c r="R58" i="3"/>
  <c r="S58" i="3"/>
  <c r="T58" i="3"/>
  <c r="J57" i="3"/>
  <c r="K57" i="3"/>
  <c r="W57" i="3" s="1"/>
  <c r="L57" i="3"/>
  <c r="N57" i="3" s="1"/>
  <c r="M57" i="3"/>
  <c r="Q57" i="3"/>
  <c r="R57" i="3"/>
  <c r="S57" i="3"/>
  <c r="T57" i="3"/>
  <c r="J56" i="3"/>
  <c r="K56" i="3"/>
  <c r="W56" i="3" s="1"/>
  <c r="L56" i="3"/>
  <c r="N56" i="3" s="1"/>
  <c r="M56" i="3"/>
  <c r="Q56" i="3"/>
  <c r="R56" i="3"/>
  <c r="S56" i="3"/>
  <c r="T56" i="3"/>
  <c r="J55" i="3"/>
  <c r="K55" i="3"/>
  <c r="W55" i="3" s="1"/>
  <c r="L55" i="3"/>
  <c r="N55" i="3" s="1"/>
  <c r="M55" i="3"/>
  <c r="Q55" i="3"/>
  <c r="R55" i="3"/>
  <c r="S55" i="3"/>
  <c r="T55" i="3"/>
  <c r="J54" i="3"/>
  <c r="K54" i="3"/>
  <c r="W54" i="3" s="1"/>
  <c r="L54" i="3"/>
  <c r="N54" i="3" s="1"/>
  <c r="M54" i="3"/>
  <c r="Q54" i="3"/>
  <c r="R54" i="3"/>
  <c r="S54" i="3"/>
  <c r="T54" i="3"/>
  <c r="J53" i="3"/>
  <c r="K53" i="3"/>
  <c r="W53" i="3" s="1"/>
  <c r="L53" i="3"/>
  <c r="N53" i="3" s="1"/>
  <c r="M53" i="3"/>
  <c r="Q53" i="3"/>
  <c r="R53" i="3"/>
  <c r="S53" i="3"/>
  <c r="T53" i="3"/>
  <c r="J52" i="3"/>
  <c r="K52" i="3"/>
  <c r="W52" i="3" s="1"/>
  <c r="L52" i="3"/>
  <c r="N52" i="3" s="1"/>
  <c r="M52" i="3"/>
  <c r="Q52" i="3"/>
  <c r="R52" i="3"/>
  <c r="S52" i="3"/>
  <c r="T52" i="3"/>
  <c r="J51" i="3"/>
  <c r="K51" i="3"/>
  <c r="W51" i="3" s="1"/>
  <c r="L51" i="3"/>
  <c r="N51" i="3" s="1"/>
  <c r="M51" i="3"/>
  <c r="Q51" i="3"/>
  <c r="R51" i="3"/>
  <c r="S51" i="3"/>
  <c r="T51" i="3"/>
  <c r="J50" i="3"/>
  <c r="K50" i="3"/>
  <c r="W50" i="3" s="1"/>
  <c r="L50" i="3"/>
  <c r="N50" i="3" s="1"/>
  <c r="M50" i="3"/>
  <c r="Q50" i="3"/>
  <c r="R50" i="3"/>
  <c r="S50" i="3"/>
  <c r="T50" i="3"/>
  <c r="J49" i="3"/>
  <c r="K49" i="3"/>
  <c r="W49" i="3" s="1"/>
  <c r="L49" i="3"/>
  <c r="N49" i="3" s="1"/>
  <c r="M49" i="3"/>
  <c r="Q49" i="3"/>
  <c r="R49" i="3"/>
  <c r="S49" i="3"/>
  <c r="T49" i="3"/>
  <c r="J48" i="3"/>
  <c r="K48" i="3"/>
  <c r="W48" i="3" s="1"/>
  <c r="L48" i="3"/>
  <c r="N48" i="3" s="1"/>
  <c r="M48" i="3"/>
  <c r="Q48" i="3"/>
  <c r="R48" i="3"/>
  <c r="S48" i="3"/>
  <c r="T48" i="3"/>
  <c r="J47" i="3"/>
  <c r="K47" i="3"/>
  <c r="W47" i="3" s="1"/>
  <c r="L47" i="3"/>
  <c r="U47" i="3" s="1"/>
  <c r="M47" i="3"/>
  <c r="Q47" i="3"/>
  <c r="R47" i="3"/>
  <c r="S47" i="3"/>
  <c r="T47" i="3"/>
  <c r="J46" i="3"/>
  <c r="K46" i="3"/>
  <c r="W46" i="3" s="1"/>
  <c r="L46" i="3"/>
  <c r="N46" i="3" s="1"/>
  <c r="M46" i="3"/>
  <c r="Q46" i="3"/>
  <c r="R46" i="3"/>
  <c r="S46" i="3"/>
  <c r="T46" i="3"/>
  <c r="J44" i="3"/>
  <c r="K44" i="3"/>
  <c r="W44" i="3" s="1"/>
  <c r="L44" i="3"/>
  <c r="N44" i="3" s="1"/>
  <c r="M44" i="3"/>
  <c r="Q44" i="3"/>
  <c r="R44" i="3"/>
  <c r="S44" i="3"/>
  <c r="T44" i="3"/>
  <c r="J42" i="3"/>
  <c r="K42" i="3"/>
  <c r="W42" i="3" s="1"/>
  <c r="L42" i="3"/>
  <c r="N42" i="3" s="1"/>
  <c r="M42" i="3"/>
  <c r="Q42" i="3"/>
  <c r="R42" i="3"/>
  <c r="S42" i="3"/>
  <c r="T42" i="3"/>
  <c r="J41" i="3"/>
  <c r="K41" i="3"/>
  <c r="W41" i="3" s="1"/>
  <c r="L41" i="3"/>
  <c r="N41" i="3" s="1"/>
  <c r="M41" i="3"/>
  <c r="Q41" i="3"/>
  <c r="R41" i="3"/>
  <c r="S41" i="3"/>
  <c r="T41" i="3"/>
  <c r="J40" i="3"/>
  <c r="K40" i="3"/>
  <c r="W40" i="3" s="1"/>
  <c r="L40" i="3"/>
  <c r="N40" i="3" s="1"/>
  <c r="M40" i="3"/>
  <c r="Q40" i="3"/>
  <c r="R40" i="3"/>
  <c r="S40" i="3"/>
  <c r="T40" i="3"/>
  <c r="J39" i="3"/>
  <c r="K39" i="3"/>
  <c r="W39" i="3" s="1"/>
  <c r="L39" i="3"/>
  <c r="N39" i="3" s="1"/>
  <c r="M39" i="3"/>
  <c r="Q39" i="3"/>
  <c r="R39" i="3"/>
  <c r="S39" i="3"/>
  <c r="T39" i="3"/>
  <c r="J38" i="3"/>
  <c r="K38" i="3"/>
  <c r="W38" i="3" s="1"/>
  <c r="L38" i="3"/>
  <c r="N38" i="3" s="1"/>
  <c r="M38" i="3"/>
  <c r="Q38" i="3"/>
  <c r="R38" i="3"/>
  <c r="S38" i="3"/>
  <c r="T38" i="3"/>
  <c r="J37" i="3"/>
  <c r="K37" i="3"/>
  <c r="W37" i="3" s="1"/>
  <c r="L37" i="3"/>
  <c r="N37" i="3" s="1"/>
  <c r="M37" i="3"/>
  <c r="Q37" i="3"/>
  <c r="R37" i="3"/>
  <c r="S37" i="3"/>
  <c r="T37" i="3"/>
  <c r="J36" i="3"/>
  <c r="K36" i="3"/>
  <c r="W36" i="3" s="1"/>
  <c r="L36" i="3"/>
  <c r="N36" i="3" s="1"/>
  <c r="M36" i="3"/>
  <c r="Q36" i="3"/>
  <c r="R36" i="3"/>
  <c r="S36" i="3"/>
  <c r="T36" i="3"/>
  <c r="J35" i="3"/>
  <c r="K35" i="3"/>
  <c r="W35" i="3" s="1"/>
  <c r="L35" i="3"/>
  <c r="N35" i="3" s="1"/>
  <c r="M35" i="3"/>
  <c r="Q35" i="3"/>
  <c r="R35" i="3"/>
  <c r="S35" i="3"/>
  <c r="T35" i="3"/>
  <c r="B168" i="5"/>
  <c r="Q34" i="3"/>
  <c r="R34" i="3"/>
  <c r="S34" i="3"/>
  <c r="T34" i="3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Q33" i="3"/>
  <c r="R33" i="3"/>
  <c r="S33" i="3"/>
  <c r="T33" i="3"/>
  <c r="Q32" i="3"/>
  <c r="R32" i="3"/>
  <c r="S32" i="3"/>
  <c r="T32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AF8" i="8"/>
  <c r="AF7" i="8"/>
  <c r="AF6" i="8"/>
  <c r="AF5" i="8"/>
  <c r="AF4" i="8"/>
  <c r="AE8" i="8"/>
  <c r="AE7" i="8"/>
  <c r="AE6" i="8"/>
  <c r="AE5" i="8"/>
  <c r="AE4" i="8"/>
  <c r="AE2" i="8"/>
  <c r="AE9" i="8" s="1"/>
  <c r="G2" i="5"/>
  <c r="G3" i="5"/>
  <c r="I10" i="7" s="1"/>
  <c r="V205" i="3" l="1"/>
  <c r="W205" i="3"/>
  <c r="U205" i="3"/>
  <c r="U198" i="3"/>
  <c r="N205" i="3"/>
  <c r="N198" i="3"/>
  <c r="N203" i="3"/>
  <c r="U203" i="3"/>
  <c r="V203" i="3"/>
  <c r="W203" i="3"/>
  <c r="N204" i="3"/>
  <c r="V204" i="3"/>
  <c r="W204" i="3"/>
  <c r="U204" i="3"/>
  <c r="N202" i="3"/>
  <c r="U202" i="3"/>
  <c r="V202" i="3"/>
  <c r="N201" i="3"/>
  <c r="V201" i="3"/>
  <c r="U201" i="3"/>
  <c r="W201" i="3"/>
  <c r="U200" i="3"/>
  <c r="V200" i="3"/>
  <c r="N200" i="3"/>
  <c r="W200" i="3"/>
  <c r="N199" i="3"/>
  <c r="V199" i="3"/>
  <c r="U199" i="3"/>
  <c r="W199" i="3"/>
  <c r="V198" i="3"/>
  <c r="N193" i="3"/>
  <c r="U193" i="3"/>
  <c r="V193" i="3"/>
  <c r="N173" i="3"/>
  <c r="U173" i="3"/>
  <c r="N174" i="3"/>
  <c r="U174" i="3"/>
  <c r="V67" i="3"/>
  <c r="U67" i="3"/>
  <c r="V191" i="3"/>
  <c r="N191" i="3"/>
  <c r="V192" i="3"/>
  <c r="N192" i="3"/>
  <c r="U189" i="3"/>
  <c r="V189" i="3"/>
  <c r="V190" i="3"/>
  <c r="N190" i="3"/>
  <c r="V188" i="3"/>
  <c r="N188" i="3"/>
  <c r="V187" i="3"/>
  <c r="N187" i="3"/>
  <c r="V185" i="3"/>
  <c r="U184" i="3"/>
  <c r="V186" i="3"/>
  <c r="N186" i="3"/>
  <c r="V184" i="3"/>
  <c r="N185" i="3"/>
  <c r="N182" i="3"/>
  <c r="V183" i="3"/>
  <c r="N183" i="3"/>
  <c r="V182" i="3"/>
  <c r="U181" i="3"/>
  <c r="V181" i="3"/>
  <c r="V180" i="3"/>
  <c r="N180" i="3"/>
  <c r="V179" i="3"/>
  <c r="N179" i="3"/>
  <c r="V178" i="3"/>
  <c r="N178" i="3"/>
  <c r="N154" i="3"/>
  <c r="V165" i="3"/>
  <c r="V177" i="3"/>
  <c r="N177" i="3"/>
  <c r="V176" i="3"/>
  <c r="N176" i="3"/>
  <c r="V154" i="3"/>
  <c r="N165" i="3"/>
  <c r="U143" i="3"/>
  <c r="V143" i="3"/>
  <c r="V124" i="3"/>
  <c r="N124" i="3"/>
  <c r="V105" i="3"/>
  <c r="N105" i="3"/>
  <c r="V66" i="3"/>
  <c r="U64" i="3"/>
  <c r="V86" i="3"/>
  <c r="N86" i="3"/>
  <c r="U65" i="3"/>
  <c r="N66" i="3"/>
  <c r="V65" i="3"/>
  <c r="V64" i="3"/>
  <c r="V63" i="3"/>
  <c r="U123" i="3"/>
  <c r="N63" i="3"/>
  <c r="V142" i="3"/>
  <c r="N142" i="3"/>
  <c r="V123" i="3"/>
  <c r="U104" i="3"/>
  <c r="V104" i="3"/>
  <c r="V45" i="3"/>
  <c r="V85" i="3"/>
  <c r="N85" i="3"/>
  <c r="N45" i="3"/>
  <c r="V173" i="3"/>
  <c r="V157" i="3"/>
  <c r="V151" i="3"/>
  <c r="V174" i="3"/>
  <c r="V139" i="3"/>
  <c r="V168" i="3"/>
  <c r="U168" i="3"/>
  <c r="V167" i="3"/>
  <c r="V43" i="3"/>
  <c r="U43" i="3"/>
  <c r="V175" i="3"/>
  <c r="U110" i="3"/>
  <c r="U158" i="3"/>
  <c r="N175" i="3"/>
  <c r="U146" i="3"/>
  <c r="U136" i="3"/>
  <c r="N152" i="3"/>
  <c r="V158" i="3"/>
  <c r="V160" i="3"/>
  <c r="V171" i="3"/>
  <c r="U133" i="3"/>
  <c r="U156" i="3"/>
  <c r="V156" i="3"/>
  <c r="U129" i="3"/>
  <c r="V149" i="3"/>
  <c r="U171" i="3"/>
  <c r="V131" i="3"/>
  <c r="V170" i="3"/>
  <c r="V163" i="3"/>
  <c r="U170" i="3"/>
  <c r="U113" i="3"/>
  <c r="V153" i="3"/>
  <c r="U163" i="3"/>
  <c r="V172" i="3"/>
  <c r="V141" i="3"/>
  <c r="V129" i="3"/>
  <c r="U149" i="3"/>
  <c r="N164" i="3"/>
  <c r="N122" i="3"/>
  <c r="V132" i="3"/>
  <c r="N112" i="3"/>
  <c r="U118" i="3"/>
  <c r="N134" i="3"/>
  <c r="U169" i="3"/>
  <c r="N172" i="3"/>
  <c r="V146" i="3"/>
  <c r="V164" i="3"/>
  <c r="U167" i="3"/>
  <c r="V169" i="3"/>
  <c r="V162" i="3"/>
  <c r="U153" i="3"/>
  <c r="U159" i="3"/>
  <c r="U145" i="3"/>
  <c r="V145" i="3"/>
  <c r="U157" i="3"/>
  <c r="U132" i="3"/>
  <c r="V159" i="3"/>
  <c r="U141" i="3"/>
  <c r="N151" i="3"/>
  <c r="N131" i="3"/>
  <c r="U161" i="3"/>
  <c r="V136" i="3"/>
  <c r="V152" i="3"/>
  <c r="N162" i="3"/>
  <c r="V135" i="3"/>
  <c r="V161" i="3"/>
  <c r="N161" i="3"/>
  <c r="V134" i="3"/>
  <c r="V150" i="3"/>
  <c r="N160" i="3"/>
  <c r="V122" i="3"/>
  <c r="V110" i="3"/>
  <c r="U117" i="3"/>
  <c r="U150" i="3"/>
  <c r="U115" i="3"/>
  <c r="V115" i="3"/>
  <c r="V137" i="3"/>
  <c r="V118" i="3"/>
  <c r="V112" i="3"/>
  <c r="U147" i="3"/>
  <c r="U140" i="3"/>
  <c r="V147" i="3"/>
  <c r="U137" i="3"/>
  <c r="V140" i="3"/>
  <c r="U116" i="3"/>
  <c r="V126" i="3"/>
  <c r="U139" i="3"/>
  <c r="V130" i="3"/>
  <c r="V116" i="3"/>
  <c r="N148" i="3"/>
  <c r="V113" i="3"/>
  <c r="V119" i="3"/>
  <c r="U127" i="3"/>
  <c r="V117" i="3"/>
  <c r="U107" i="3"/>
  <c r="V111" i="3"/>
  <c r="V128" i="3"/>
  <c r="V148" i="3"/>
  <c r="V107" i="3"/>
  <c r="U126" i="3"/>
  <c r="U130" i="3"/>
  <c r="V127" i="3"/>
  <c r="V133" i="3"/>
  <c r="U128" i="3"/>
  <c r="N135" i="3"/>
  <c r="V138" i="3"/>
  <c r="U138" i="3"/>
  <c r="U114" i="3"/>
  <c r="U111" i="3"/>
  <c r="V114" i="3"/>
  <c r="U119" i="3"/>
  <c r="N108" i="3"/>
  <c r="N120" i="3"/>
  <c r="V108" i="3"/>
  <c r="V120" i="3"/>
  <c r="N121" i="3"/>
  <c r="N109" i="3"/>
  <c r="U100" i="3"/>
  <c r="V121" i="3"/>
  <c r="V109" i="3"/>
  <c r="U99" i="3"/>
  <c r="U103" i="3"/>
  <c r="U102" i="3"/>
  <c r="V103" i="3"/>
  <c r="U98" i="3"/>
  <c r="U101" i="3"/>
  <c r="V101" i="3"/>
  <c r="U97" i="3"/>
  <c r="V102" i="3"/>
  <c r="V100" i="3"/>
  <c r="U96" i="3"/>
  <c r="U94" i="3"/>
  <c r="V99" i="3"/>
  <c r="U95" i="3"/>
  <c r="V96" i="3"/>
  <c r="U93" i="3"/>
  <c r="V98" i="3"/>
  <c r="U92" i="3"/>
  <c r="V97" i="3"/>
  <c r="V95" i="3"/>
  <c r="V90" i="3"/>
  <c r="V92" i="3"/>
  <c r="V94" i="3"/>
  <c r="V93" i="3"/>
  <c r="U84" i="3"/>
  <c r="U91" i="3"/>
  <c r="U90" i="3"/>
  <c r="U89" i="3"/>
  <c r="U88" i="3"/>
  <c r="V89" i="3"/>
  <c r="U83" i="3"/>
  <c r="V91" i="3"/>
  <c r="V84" i="3"/>
  <c r="V83" i="3"/>
  <c r="V88" i="3"/>
  <c r="U81" i="3"/>
  <c r="V81" i="3"/>
  <c r="U82" i="3"/>
  <c r="V82" i="3"/>
  <c r="U79" i="3"/>
  <c r="U80" i="3"/>
  <c r="V80" i="3"/>
  <c r="U78" i="3"/>
  <c r="V77" i="3"/>
  <c r="V79" i="3"/>
  <c r="U77" i="3"/>
  <c r="U76" i="3"/>
  <c r="V78" i="3"/>
  <c r="U75" i="3"/>
  <c r="V76" i="3"/>
  <c r="U74" i="3"/>
  <c r="U73" i="3"/>
  <c r="V75" i="3"/>
  <c r="V74" i="3"/>
  <c r="U72" i="3"/>
  <c r="V69" i="3"/>
  <c r="V72" i="3"/>
  <c r="U166" i="3"/>
  <c r="V73" i="3"/>
  <c r="U70" i="3"/>
  <c r="U69" i="3"/>
  <c r="U71" i="3"/>
  <c r="V71" i="3"/>
  <c r="U68" i="3"/>
  <c r="U125" i="3"/>
  <c r="V70" i="3"/>
  <c r="U155" i="3"/>
  <c r="U144" i="3"/>
  <c r="V68" i="3"/>
  <c r="V144" i="3"/>
  <c r="V166" i="3"/>
  <c r="V125" i="3"/>
  <c r="U62" i="3"/>
  <c r="V155" i="3"/>
  <c r="U106" i="3"/>
  <c r="U87" i="3"/>
  <c r="V62" i="3"/>
  <c r="U56" i="3"/>
  <c r="V106" i="3"/>
  <c r="V87" i="3"/>
  <c r="U57" i="3"/>
  <c r="U59" i="3"/>
  <c r="V61" i="3"/>
  <c r="V60" i="3"/>
  <c r="U58" i="3"/>
  <c r="N61" i="3"/>
  <c r="V57" i="3"/>
  <c r="V59" i="3"/>
  <c r="N60" i="3"/>
  <c r="V56" i="3"/>
  <c r="V58" i="3"/>
  <c r="U55" i="3"/>
  <c r="U54" i="3"/>
  <c r="V55" i="3"/>
  <c r="U53" i="3"/>
  <c r="V54" i="3"/>
  <c r="V53" i="3"/>
  <c r="U52" i="3"/>
  <c r="U51" i="3"/>
  <c r="V49" i="3"/>
  <c r="V46" i="3"/>
  <c r="V52" i="3"/>
  <c r="U50" i="3"/>
  <c r="V51" i="3"/>
  <c r="V50" i="3"/>
  <c r="V44" i="3"/>
  <c r="U48" i="3"/>
  <c r="U49" i="3"/>
  <c r="V48" i="3"/>
  <c r="V47" i="3"/>
  <c r="U46" i="3"/>
  <c r="N47" i="3"/>
  <c r="U44" i="3"/>
  <c r="V42" i="3"/>
  <c r="U42" i="3"/>
  <c r="V41" i="3"/>
  <c r="U41" i="3"/>
  <c r="U40" i="3"/>
  <c r="V40" i="3"/>
  <c r="V39" i="3"/>
  <c r="U39" i="3"/>
  <c r="U38" i="3"/>
  <c r="V38" i="3"/>
  <c r="V37" i="3"/>
  <c r="U37" i="3"/>
  <c r="U36" i="3"/>
  <c r="V36" i="3"/>
  <c r="V35" i="3"/>
  <c r="U35" i="3"/>
  <c r="AL3" i="8"/>
  <c r="J11" i="7"/>
  <c r="I11" i="7"/>
  <c r="AL4" i="8" l="1"/>
  <c r="AL5" i="8" s="1"/>
  <c r="AL6" i="8" s="1"/>
  <c r="AL7" i="8" s="1"/>
  <c r="AL8" i="8" s="1"/>
  <c r="M11" i="7"/>
  <c r="M12" i="7" s="1"/>
  <c r="M13" i="7" s="1"/>
  <c r="L11" i="7"/>
  <c r="K11" i="7"/>
  <c r="I12" i="7"/>
  <c r="I13" i="7" s="1"/>
  <c r="W2" i="8"/>
  <c r="H1" i="8"/>
  <c r="R2" i="8"/>
  <c r="D1" i="8"/>
  <c r="E8" i="7" l="1"/>
  <c r="AJ6" i="8"/>
  <c r="AJ5" i="8"/>
  <c r="AJ8" i="8" s="1"/>
  <c r="AJ4" i="8"/>
  <c r="AJ3" i="8"/>
  <c r="AJ7" i="8" l="1"/>
  <c r="AJ9" i="8" s="1"/>
  <c r="K10" i="7"/>
  <c r="K12" i="7" s="1"/>
  <c r="K13" i="7" s="1"/>
  <c r="J10" i="7"/>
  <c r="J12" i="7" s="1"/>
  <c r="J13" i="7" s="1"/>
  <c r="L10" i="7"/>
  <c r="L12" i="7" s="1"/>
  <c r="L13" i="7" s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J34" i="3" l="1"/>
  <c r="K34" i="3"/>
  <c r="W34" i="3" s="1"/>
  <c r="L34" i="3"/>
  <c r="M34" i="3"/>
  <c r="M33" i="3"/>
  <c r="J16" i="3"/>
  <c r="J28" i="3"/>
  <c r="K16" i="3"/>
  <c r="W16" i="3" s="1"/>
  <c r="K28" i="3"/>
  <c r="W28" i="3" s="1"/>
  <c r="L16" i="3"/>
  <c r="L28" i="3"/>
  <c r="M16" i="3"/>
  <c r="M28" i="3"/>
  <c r="J17" i="3"/>
  <c r="J29" i="3"/>
  <c r="K17" i="3"/>
  <c r="W17" i="3" s="1"/>
  <c r="K29" i="3"/>
  <c r="W29" i="3" s="1"/>
  <c r="L17" i="3"/>
  <c r="L29" i="3"/>
  <c r="M17" i="3"/>
  <c r="M29" i="3"/>
  <c r="J18" i="3"/>
  <c r="J30" i="3"/>
  <c r="K18" i="3"/>
  <c r="W18" i="3" s="1"/>
  <c r="K30" i="3"/>
  <c r="W30" i="3" s="1"/>
  <c r="L18" i="3"/>
  <c r="L30" i="3"/>
  <c r="M18" i="3"/>
  <c r="M30" i="3"/>
  <c r="J19" i="3"/>
  <c r="J31" i="3"/>
  <c r="K19" i="3"/>
  <c r="W19" i="3" s="1"/>
  <c r="K31" i="3"/>
  <c r="W31" i="3" s="1"/>
  <c r="L19" i="3"/>
  <c r="L31" i="3"/>
  <c r="M19" i="3"/>
  <c r="M31" i="3"/>
  <c r="J8" i="3"/>
  <c r="J20" i="3"/>
  <c r="K8" i="3"/>
  <c r="W8" i="3" s="1"/>
  <c r="K20" i="3"/>
  <c r="W20" i="3" s="1"/>
  <c r="L8" i="3"/>
  <c r="L20" i="3"/>
  <c r="M8" i="3"/>
  <c r="M20" i="3"/>
  <c r="J9" i="3"/>
  <c r="J21" i="3"/>
  <c r="K9" i="3"/>
  <c r="W9" i="3" s="1"/>
  <c r="L9" i="3"/>
  <c r="M9" i="3"/>
  <c r="M21" i="3"/>
  <c r="K22" i="3"/>
  <c r="W22" i="3" s="1"/>
  <c r="L10" i="3"/>
  <c r="J11" i="3"/>
  <c r="K11" i="3"/>
  <c r="W11" i="3" s="1"/>
  <c r="L11" i="3"/>
  <c r="L23" i="3"/>
  <c r="M23" i="3"/>
  <c r="K21" i="3"/>
  <c r="W21" i="3" s="1"/>
  <c r="K10" i="3"/>
  <c r="W10" i="3" s="1"/>
  <c r="M22" i="3"/>
  <c r="L21" i="3"/>
  <c r="J22" i="3"/>
  <c r="M10" i="3"/>
  <c r="J10" i="3"/>
  <c r="J23" i="3"/>
  <c r="K23" i="3"/>
  <c r="W23" i="3" s="1"/>
  <c r="M11" i="3"/>
  <c r="L22" i="3"/>
  <c r="J12" i="3"/>
  <c r="K24" i="3"/>
  <c r="W24" i="3" s="1"/>
  <c r="M12" i="3"/>
  <c r="M13" i="3"/>
  <c r="K26" i="3"/>
  <c r="W26" i="3" s="1"/>
  <c r="L12" i="3"/>
  <c r="L13" i="3"/>
  <c r="J13" i="3"/>
  <c r="K25" i="3"/>
  <c r="W25" i="3" s="1"/>
  <c r="M14" i="3"/>
  <c r="M24" i="3"/>
  <c r="M25" i="3"/>
  <c r="L15" i="3"/>
  <c r="K33" i="3"/>
  <c r="W33" i="3" s="1"/>
  <c r="J14" i="3"/>
  <c r="J26" i="3"/>
  <c r="K12" i="3"/>
  <c r="W12" i="3" s="1"/>
  <c r="J15" i="3"/>
  <c r="K27" i="3"/>
  <c r="W27" i="3" s="1"/>
  <c r="M15" i="3"/>
  <c r="J24" i="3"/>
  <c r="J25" i="3"/>
  <c r="M26" i="3"/>
  <c r="K13" i="3"/>
  <c r="W13" i="3" s="1"/>
  <c r="J32" i="3"/>
  <c r="L14" i="3"/>
  <c r="L24" i="3"/>
  <c r="K14" i="3"/>
  <c r="W14" i="3" s="1"/>
  <c r="L33" i="3"/>
  <c r="K32" i="3"/>
  <c r="W32" i="3" s="1"/>
  <c r="J33" i="3"/>
  <c r="K15" i="3"/>
  <c r="W15" i="3" s="1"/>
  <c r="L32" i="3"/>
  <c r="M32" i="3"/>
  <c r="J27" i="3"/>
  <c r="M27" i="3"/>
  <c r="L25" i="3"/>
  <c r="L26" i="3"/>
  <c r="L27" i="3"/>
  <c r="AF9" i="8"/>
  <c r="AD1" i="8"/>
  <c r="O205" i="3" l="1"/>
  <c r="P205" i="3"/>
  <c r="O204" i="3"/>
  <c r="P204" i="3"/>
  <c r="O203" i="3"/>
  <c r="P203" i="3"/>
  <c r="O202" i="3"/>
  <c r="P202" i="3"/>
  <c r="O201" i="3"/>
  <c r="P201" i="3"/>
  <c r="O200" i="3"/>
  <c r="P200" i="3"/>
  <c r="O199" i="3"/>
  <c r="P199" i="3"/>
  <c r="O198" i="3"/>
  <c r="P198" i="3"/>
  <c r="O197" i="3"/>
  <c r="P197" i="3"/>
  <c r="O196" i="3"/>
  <c r="P196" i="3"/>
  <c r="O195" i="3"/>
  <c r="P195" i="3"/>
  <c r="O194" i="3"/>
  <c r="P194" i="3"/>
  <c r="O193" i="3"/>
  <c r="P193" i="3"/>
  <c r="O67" i="3"/>
  <c r="P67" i="3"/>
  <c r="P192" i="3"/>
  <c r="O192" i="3"/>
  <c r="O191" i="3"/>
  <c r="P191" i="3"/>
  <c r="P190" i="3"/>
  <c r="O190" i="3"/>
  <c r="O189" i="3"/>
  <c r="P189" i="3"/>
  <c r="P188" i="3"/>
  <c r="O188" i="3"/>
  <c r="P187" i="3"/>
  <c r="O187" i="3"/>
  <c r="P186" i="3"/>
  <c r="O186" i="3"/>
  <c r="O185" i="3"/>
  <c r="P185" i="3"/>
  <c r="P184" i="3"/>
  <c r="O184" i="3"/>
  <c r="P183" i="3"/>
  <c r="O183" i="3"/>
  <c r="O182" i="3"/>
  <c r="P182" i="3"/>
  <c r="O181" i="3"/>
  <c r="P181" i="3"/>
  <c r="O180" i="3"/>
  <c r="P180" i="3"/>
  <c r="P179" i="3"/>
  <c r="O179" i="3"/>
  <c r="P178" i="3"/>
  <c r="O178" i="3"/>
  <c r="O177" i="3"/>
  <c r="P177" i="3"/>
  <c r="P176" i="3"/>
  <c r="O176" i="3"/>
  <c r="P165" i="3"/>
  <c r="O165" i="3"/>
  <c r="P154" i="3"/>
  <c r="O154" i="3"/>
  <c r="P143" i="3"/>
  <c r="O143" i="3"/>
  <c r="P124" i="3"/>
  <c r="O124" i="3"/>
  <c r="O105" i="3"/>
  <c r="P105" i="3"/>
  <c r="P86" i="3"/>
  <c r="O86" i="3"/>
  <c r="P66" i="3"/>
  <c r="O66" i="3"/>
  <c r="P65" i="3"/>
  <c r="O65" i="3"/>
  <c r="O64" i="3"/>
  <c r="P64" i="3"/>
  <c r="P63" i="3"/>
  <c r="O63" i="3"/>
  <c r="O142" i="3"/>
  <c r="P142" i="3"/>
  <c r="P123" i="3"/>
  <c r="O123" i="3"/>
  <c r="O104" i="3"/>
  <c r="P104" i="3"/>
  <c r="P85" i="3"/>
  <c r="O85" i="3"/>
  <c r="P45" i="3"/>
  <c r="O45" i="3"/>
  <c r="P43" i="3"/>
  <c r="O43" i="3"/>
  <c r="P169" i="3"/>
  <c r="P171" i="3"/>
  <c r="P168" i="3"/>
  <c r="O169" i="3"/>
  <c r="O172" i="3"/>
  <c r="O174" i="3"/>
  <c r="O173" i="3"/>
  <c r="O170" i="3"/>
  <c r="P173" i="3"/>
  <c r="P175" i="3"/>
  <c r="O168" i="3"/>
  <c r="O167" i="3"/>
  <c r="P174" i="3"/>
  <c r="P167" i="3"/>
  <c r="P170" i="3"/>
  <c r="O175" i="3"/>
  <c r="P172" i="3"/>
  <c r="O171" i="3"/>
  <c r="P161" i="3"/>
  <c r="P160" i="3"/>
  <c r="O157" i="3"/>
  <c r="O164" i="3"/>
  <c r="O160" i="3"/>
  <c r="O159" i="3"/>
  <c r="P162" i="3"/>
  <c r="P158" i="3"/>
  <c r="P159" i="3"/>
  <c r="P157" i="3"/>
  <c r="O156" i="3"/>
  <c r="O163" i="3"/>
  <c r="P156" i="3"/>
  <c r="O158" i="3"/>
  <c r="O161" i="3"/>
  <c r="P164" i="3"/>
  <c r="P163" i="3"/>
  <c r="O162" i="3"/>
  <c r="O148" i="3"/>
  <c r="O151" i="3"/>
  <c r="P145" i="3"/>
  <c r="O152" i="3"/>
  <c r="P151" i="3"/>
  <c r="O150" i="3"/>
  <c r="P153" i="3"/>
  <c r="P150" i="3"/>
  <c r="O149" i="3"/>
  <c r="O146" i="3"/>
  <c r="O145" i="3"/>
  <c r="O153" i="3"/>
  <c r="O147" i="3"/>
  <c r="P147" i="3"/>
  <c r="P152" i="3"/>
  <c r="P149" i="3"/>
  <c r="P146" i="3"/>
  <c r="P148" i="3"/>
  <c r="O132" i="3"/>
  <c r="O135" i="3"/>
  <c r="P134" i="3"/>
  <c r="O136" i="3"/>
  <c r="O137" i="3"/>
  <c r="P138" i="3"/>
  <c r="O134" i="3"/>
  <c r="O133" i="3"/>
  <c r="P133" i="3"/>
  <c r="P137" i="3"/>
  <c r="P135" i="3"/>
  <c r="O138" i="3"/>
  <c r="P132" i="3"/>
  <c r="O131" i="3"/>
  <c r="P136" i="3"/>
  <c r="P131" i="3"/>
  <c r="P130" i="3"/>
  <c r="O141" i="3"/>
  <c r="P141" i="3"/>
  <c r="O129" i="3"/>
  <c r="P129" i="3"/>
  <c r="O130" i="3"/>
  <c r="O140" i="3"/>
  <c r="P140" i="3"/>
  <c r="O139" i="3"/>
  <c r="P139" i="3"/>
  <c r="P128" i="3"/>
  <c r="O128" i="3"/>
  <c r="P127" i="3"/>
  <c r="O127" i="3"/>
  <c r="P126" i="3"/>
  <c r="O126" i="3"/>
  <c r="O121" i="3"/>
  <c r="O109" i="3"/>
  <c r="P117" i="3"/>
  <c r="O111" i="3"/>
  <c r="P113" i="3"/>
  <c r="O119" i="3"/>
  <c r="P110" i="3"/>
  <c r="O115" i="3"/>
  <c r="O107" i="3"/>
  <c r="P122" i="3"/>
  <c r="O114" i="3"/>
  <c r="P114" i="3"/>
  <c r="P120" i="3"/>
  <c r="O112" i="3"/>
  <c r="P108" i="3"/>
  <c r="O113" i="3"/>
  <c r="P119" i="3"/>
  <c r="P118" i="3"/>
  <c r="P112" i="3"/>
  <c r="P109" i="3"/>
  <c r="P107" i="3"/>
  <c r="O122" i="3"/>
  <c r="O118" i="3"/>
  <c r="O110" i="3"/>
  <c r="P111" i="3"/>
  <c r="P121" i="3"/>
  <c r="P116" i="3"/>
  <c r="O117" i="3"/>
  <c r="O120" i="3"/>
  <c r="O108" i="3"/>
  <c r="O116" i="3"/>
  <c r="P115" i="3"/>
  <c r="P103" i="3"/>
  <c r="O103" i="3"/>
  <c r="P102" i="3"/>
  <c r="O102" i="3"/>
  <c r="P101" i="3"/>
  <c r="O101" i="3"/>
  <c r="P100" i="3"/>
  <c r="O100" i="3"/>
  <c r="P99" i="3"/>
  <c r="O99" i="3"/>
  <c r="P98" i="3"/>
  <c r="O98" i="3"/>
  <c r="P97" i="3"/>
  <c r="O97" i="3"/>
  <c r="P96" i="3"/>
  <c r="O96" i="3"/>
  <c r="P95" i="3"/>
  <c r="O95" i="3"/>
  <c r="P94" i="3"/>
  <c r="O94" i="3"/>
  <c r="P93" i="3"/>
  <c r="O93" i="3"/>
  <c r="P92" i="3"/>
  <c r="O92" i="3"/>
  <c r="P91" i="3"/>
  <c r="O91" i="3"/>
  <c r="P90" i="3"/>
  <c r="O90" i="3"/>
  <c r="P89" i="3"/>
  <c r="O89" i="3"/>
  <c r="P88" i="3"/>
  <c r="O88" i="3"/>
  <c r="P84" i="3"/>
  <c r="O84" i="3"/>
  <c r="P83" i="3"/>
  <c r="O83" i="3"/>
  <c r="P82" i="3"/>
  <c r="O82" i="3"/>
  <c r="P81" i="3"/>
  <c r="O81" i="3"/>
  <c r="P80" i="3"/>
  <c r="O80" i="3"/>
  <c r="P79" i="3"/>
  <c r="O79" i="3"/>
  <c r="O78" i="3"/>
  <c r="P78" i="3"/>
  <c r="P77" i="3"/>
  <c r="O77" i="3"/>
  <c r="P76" i="3"/>
  <c r="O76" i="3"/>
  <c r="P75" i="3"/>
  <c r="O75" i="3"/>
  <c r="O74" i="3"/>
  <c r="P74" i="3"/>
  <c r="P73" i="3"/>
  <c r="O73" i="3"/>
  <c r="P72" i="3"/>
  <c r="O72" i="3"/>
  <c r="P71" i="3"/>
  <c r="O71" i="3"/>
  <c r="P70" i="3"/>
  <c r="O70" i="3"/>
  <c r="P69" i="3"/>
  <c r="O69" i="3"/>
  <c r="P68" i="3"/>
  <c r="O68" i="3"/>
  <c r="P166" i="3"/>
  <c r="O166" i="3"/>
  <c r="P155" i="3"/>
  <c r="O155" i="3"/>
  <c r="P144" i="3"/>
  <c r="O144" i="3"/>
  <c r="P125" i="3"/>
  <c r="O125" i="3"/>
  <c r="P106" i="3"/>
  <c r="O106" i="3"/>
  <c r="P87" i="3"/>
  <c r="O87" i="3"/>
  <c r="P62" i="3"/>
  <c r="O62" i="3"/>
  <c r="P61" i="3"/>
  <c r="O61" i="3"/>
  <c r="P60" i="3"/>
  <c r="O60" i="3"/>
  <c r="P59" i="3"/>
  <c r="O59" i="3"/>
  <c r="P58" i="3"/>
  <c r="O58" i="3"/>
  <c r="P57" i="3"/>
  <c r="O57" i="3"/>
  <c r="P56" i="3"/>
  <c r="O56" i="3"/>
  <c r="P55" i="3"/>
  <c r="O55" i="3"/>
  <c r="P54" i="3"/>
  <c r="O54" i="3"/>
  <c r="P53" i="3"/>
  <c r="O53" i="3"/>
  <c r="P52" i="3"/>
  <c r="O52" i="3"/>
  <c r="P51" i="3"/>
  <c r="O51" i="3"/>
  <c r="P50" i="3"/>
  <c r="O50" i="3"/>
  <c r="P49" i="3"/>
  <c r="O49" i="3"/>
  <c r="P48" i="3"/>
  <c r="O48" i="3"/>
  <c r="P47" i="3"/>
  <c r="O47" i="3"/>
  <c r="P46" i="3"/>
  <c r="O46" i="3"/>
  <c r="P44" i="3"/>
  <c r="O44" i="3"/>
  <c r="P42" i="3"/>
  <c r="O42" i="3"/>
  <c r="P41" i="3"/>
  <c r="O41" i="3"/>
  <c r="P40" i="3"/>
  <c r="O40" i="3"/>
  <c r="P39" i="3"/>
  <c r="O39" i="3"/>
  <c r="P38" i="3"/>
  <c r="O38" i="3"/>
  <c r="P37" i="3"/>
  <c r="O37" i="3"/>
  <c r="P36" i="3"/>
  <c r="O36" i="3"/>
  <c r="P35" i="3"/>
  <c r="O35" i="3"/>
  <c r="N34" i="3"/>
  <c r="V34" i="3"/>
  <c r="U34" i="3"/>
  <c r="P34" i="3"/>
  <c r="O34" i="3"/>
  <c r="U12" i="3"/>
  <c r="N12" i="3"/>
  <c r="P12" i="3"/>
  <c r="O12" i="3"/>
  <c r="V12" i="3"/>
  <c r="N30" i="3"/>
  <c r="U30" i="3"/>
  <c r="V30" i="3"/>
  <c r="P30" i="3"/>
  <c r="O30" i="3"/>
  <c r="N9" i="3"/>
  <c r="V9" i="3"/>
  <c r="U9" i="3"/>
  <c r="O9" i="3"/>
  <c r="P9" i="3"/>
  <c r="N13" i="3"/>
  <c r="O13" i="3"/>
  <c r="U13" i="3"/>
  <c r="P13" i="3"/>
  <c r="V13" i="3"/>
  <c r="N21" i="3"/>
  <c r="O21" i="3"/>
  <c r="P21" i="3"/>
  <c r="U21" i="3"/>
  <c r="V21" i="3"/>
  <c r="N27" i="3"/>
  <c r="U27" i="3"/>
  <c r="V27" i="3"/>
  <c r="O27" i="3"/>
  <c r="P27" i="3"/>
  <c r="N24" i="3"/>
  <c r="U24" i="3"/>
  <c r="O24" i="3"/>
  <c r="P24" i="3"/>
  <c r="V24" i="3"/>
  <c r="N26" i="3"/>
  <c r="U26" i="3"/>
  <c r="P26" i="3"/>
  <c r="O26" i="3"/>
  <c r="V26" i="3"/>
  <c r="N14" i="3"/>
  <c r="U14" i="3"/>
  <c r="P14" i="3"/>
  <c r="V14" i="3"/>
  <c r="O14" i="3"/>
  <c r="V31" i="3"/>
  <c r="P31" i="3"/>
  <c r="U31" i="3"/>
  <c r="O31" i="3"/>
  <c r="N31" i="3"/>
  <c r="U28" i="3"/>
  <c r="O28" i="3"/>
  <c r="N28" i="3"/>
  <c r="P28" i="3"/>
  <c r="V28" i="3"/>
  <c r="V18" i="3"/>
  <c r="U18" i="3"/>
  <c r="N18" i="3"/>
  <c r="P18" i="3"/>
  <c r="O18" i="3"/>
  <c r="N25" i="3"/>
  <c r="U25" i="3"/>
  <c r="P25" i="3"/>
  <c r="O25" i="3"/>
  <c r="V25" i="3"/>
  <c r="N15" i="3"/>
  <c r="U15" i="3"/>
  <c r="P15" i="3"/>
  <c r="V15" i="3"/>
  <c r="O15" i="3"/>
  <c r="V19" i="3"/>
  <c r="P19" i="3"/>
  <c r="N19" i="3"/>
  <c r="O19" i="3"/>
  <c r="U19" i="3"/>
  <c r="U16" i="3"/>
  <c r="N16" i="3"/>
  <c r="O16" i="3"/>
  <c r="V16" i="3"/>
  <c r="P16" i="3"/>
  <c r="V22" i="3"/>
  <c r="U22" i="3"/>
  <c r="N22" i="3"/>
  <c r="P22" i="3"/>
  <c r="O22" i="3"/>
  <c r="U23" i="3"/>
  <c r="N23" i="3"/>
  <c r="V23" i="3"/>
  <c r="O23" i="3"/>
  <c r="P23" i="3"/>
  <c r="N33" i="3"/>
  <c r="U33" i="3"/>
  <c r="V33" i="3"/>
  <c r="P33" i="3"/>
  <c r="O33" i="3"/>
  <c r="U11" i="3"/>
  <c r="N11" i="3"/>
  <c r="P11" i="3"/>
  <c r="O11" i="3"/>
  <c r="V11" i="3"/>
  <c r="N20" i="3"/>
  <c r="V20" i="3"/>
  <c r="U20" i="3"/>
  <c r="P20" i="3"/>
  <c r="O20" i="3"/>
  <c r="V29" i="3"/>
  <c r="U29" i="3"/>
  <c r="P29" i="3"/>
  <c r="N29" i="3"/>
  <c r="O29" i="3"/>
  <c r="N32" i="3"/>
  <c r="O32" i="3"/>
  <c r="V32" i="3"/>
  <c r="U32" i="3"/>
  <c r="P32" i="3"/>
  <c r="U8" i="3"/>
  <c r="N8" i="3"/>
  <c r="V8" i="3"/>
  <c r="O8" i="3"/>
  <c r="P8" i="3"/>
  <c r="N17" i="3"/>
  <c r="U17" i="3"/>
  <c r="V17" i="3"/>
  <c r="O17" i="3"/>
  <c r="P17" i="3"/>
  <c r="U10" i="3"/>
  <c r="N10" i="3"/>
  <c r="O10" i="3"/>
  <c r="P10" i="3"/>
  <c r="V10" i="3"/>
</calcChain>
</file>

<file path=xl/sharedStrings.xml><?xml version="1.0" encoding="utf-8"?>
<sst xmlns="http://schemas.openxmlformats.org/spreadsheetml/2006/main" count="1778" uniqueCount="377">
  <si>
    <t>Defina as Classificações (preencher após a última linha e não alterar os dados em cor clara)</t>
  </si>
  <si>
    <t>Defina os bancos e cartões de crédito</t>
  </si>
  <si>
    <t>Definir</t>
  </si>
  <si>
    <t>Controle de Revisões (Não alterar)</t>
  </si>
  <si>
    <t>Classificação</t>
  </si>
  <si>
    <t>Grupo</t>
  </si>
  <si>
    <t>Tipo</t>
  </si>
  <si>
    <t>Categoria</t>
  </si>
  <si>
    <t>Subcategoria</t>
  </si>
  <si>
    <t>Meta Mês</t>
  </si>
  <si>
    <t>INSTITUIÇÃO</t>
  </si>
  <si>
    <t>TIPO</t>
  </si>
  <si>
    <t>SALDO INICIAL</t>
  </si>
  <si>
    <t>SALDO ATUAL</t>
  </si>
  <si>
    <t>DESCRIÇÃO</t>
  </si>
  <si>
    <t>REV</t>
  </si>
  <si>
    <t>DATA</t>
  </si>
  <si>
    <t>OPERACIONAL</t>
  </si>
  <si>
    <t>RECEITA</t>
  </si>
  <si>
    <t>Renda Principal</t>
  </si>
  <si>
    <t>Salário Principal</t>
  </si>
  <si>
    <t>Bônus Principal</t>
  </si>
  <si>
    <t>Participação de Lucros Principal</t>
  </si>
  <si>
    <t>Horas extras / Comissões Principal</t>
  </si>
  <si>
    <t>13º Salário Principal</t>
  </si>
  <si>
    <t>Férias Bruto Principal</t>
  </si>
  <si>
    <t>Renda Cônjuge</t>
  </si>
  <si>
    <t>Salário Cônjuge</t>
  </si>
  <si>
    <t>Bônus Cônjuge</t>
  </si>
  <si>
    <t>Participação nos Lucros Cônjuge</t>
  </si>
  <si>
    <t>Horas extras / Comissões Cônjuge</t>
  </si>
  <si>
    <t>13º Salário Cônjuge</t>
  </si>
  <si>
    <t>Férias Bruto Cônjuge</t>
  </si>
  <si>
    <t>Renda Extra</t>
  </si>
  <si>
    <t>VT / VR / VA</t>
  </si>
  <si>
    <t>Aposentadoria INSS</t>
  </si>
  <si>
    <t>Recebimento Aluguel</t>
  </si>
  <si>
    <t>Pensão / Auxílio de Parentes</t>
  </si>
  <si>
    <t>Restituição IR</t>
  </si>
  <si>
    <t>Outras fontes de renda</t>
  </si>
  <si>
    <t>DESPESA</t>
  </si>
  <si>
    <t>Moradia</t>
  </si>
  <si>
    <t>Condomínio</t>
  </si>
  <si>
    <t>IPTU</t>
  </si>
  <si>
    <t>Aluguel</t>
  </si>
  <si>
    <t>Energia Elétrica</t>
  </si>
  <si>
    <t>Gás</t>
  </si>
  <si>
    <t>Água</t>
  </si>
  <si>
    <t>Material de Limpeza</t>
  </si>
  <si>
    <t>Serviços de limpeza / Faxina</t>
  </si>
  <si>
    <t>Seguro Residencial</t>
  </si>
  <si>
    <t>Utensílios e Eletrodomésticos</t>
  </si>
  <si>
    <t>Reforma / Manutenção / Jardineiro</t>
  </si>
  <si>
    <t>Custos com Imóveis de Veraneio</t>
  </si>
  <si>
    <t>Custos com Imóveis não Alugados</t>
  </si>
  <si>
    <t>Outros Moradia</t>
  </si>
  <si>
    <t>Comunicação</t>
  </si>
  <si>
    <t xml:space="preserve">Telefone Celular </t>
  </si>
  <si>
    <t>Combo (TV + Internet + Tel)</t>
  </si>
  <si>
    <t>Telefone Fixo</t>
  </si>
  <si>
    <t>Internet</t>
  </si>
  <si>
    <t>TV a cabo</t>
  </si>
  <si>
    <t>Apps (Netflix, Spotify, Skype, etc)</t>
  </si>
  <si>
    <t>Outros Comunicação</t>
  </si>
  <si>
    <t>Alimentação</t>
  </si>
  <si>
    <t>Supermercado</t>
  </si>
  <si>
    <t>Refeições em restaurante</t>
  </si>
  <si>
    <t>Feira</t>
  </si>
  <si>
    <t>Padaria</t>
  </si>
  <si>
    <t>Lanches &amp; Snacks</t>
  </si>
  <si>
    <t>Outros Alimentação</t>
  </si>
  <si>
    <t>Transporte</t>
  </si>
  <si>
    <t>Combustível</t>
  </si>
  <si>
    <t>Seguro Carro</t>
  </si>
  <si>
    <t>IPVA</t>
  </si>
  <si>
    <t>Licenciamento</t>
  </si>
  <si>
    <t>Manutenção</t>
  </si>
  <si>
    <t>Estacionamento</t>
  </si>
  <si>
    <t>Pedágio</t>
  </si>
  <si>
    <t>Multas</t>
  </si>
  <si>
    <t>Ônibus / Metrô</t>
  </si>
  <si>
    <t>Táxi</t>
  </si>
  <si>
    <t>Lavagem / Higienização</t>
  </si>
  <si>
    <t>Outros Transporte</t>
  </si>
  <si>
    <t>Saúde</t>
  </si>
  <si>
    <t>Plano de Saúde</t>
  </si>
  <si>
    <t>Dentista</t>
  </si>
  <si>
    <t>Medicamentos / Farmácia</t>
  </si>
  <si>
    <t>Terapia / Tratamentos Contínuos</t>
  </si>
  <si>
    <t>Outras Consultas Fora do Plano</t>
  </si>
  <si>
    <t>Outros Saúde</t>
  </si>
  <si>
    <t>Pessoais</t>
  </si>
  <si>
    <t>Vestuário / Calçados / Acessórios</t>
  </si>
  <si>
    <t>Higiene pessoal</t>
  </si>
  <si>
    <t>Lavanderia</t>
  </si>
  <si>
    <t>Estética</t>
  </si>
  <si>
    <t>Salão / Barbeiro / Manicure</t>
  </si>
  <si>
    <t>Academia / Esportes</t>
  </si>
  <si>
    <t>Suplemento Alimentar</t>
  </si>
  <si>
    <t>Outros Pessoais</t>
  </si>
  <si>
    <t>Educação</t>
  </si>
  <si>
    <t>Colégio</t>
  </si>
  <si>
    <t>Graduação</t>
  </si>
  <si>
    <t xml:space="preserve">Pós-Graduação </t>
  </si>
  <si>
    <t>Cursos de Extensão</t>
  </si>
  <si>
    <t>Idiomas</t>
  </si>
  <si>
    <t>Outros Educação</t>
  </si>
  <si>
    <t>Lazer</t>
  </si>
  <si>
    <t>Cinema / Teatro / Shows</t>
  </si>
  <si>
    <t>Livros / Revistas / Jornais / CDs</t>
  </si>
  <si>
    <t>Clubes / Parques</t>
  </si>
  <si>
    <t>Bares e Restaurantes</t>
  </si>
  <si>
    <t>Viagens</t>
  </si>
  <si>
    <t>Outros Lazer</t>
  </si>
  <si>
    <t>Serviços Financeiros</t>
  </si>
  <si>
    <t>Tarifas Bancárias</t>
  </si>
  <si>
    <t>Anuidade Cartão Crédito</t>
  </si>
  <si>
    <t>Planejamento Financeiro Pessoal</t>
  </si>
  <si>
    <t>Outros Financeiros</t>
  </si>
  <si>
    <t>Empresa</t>
  </si>
  <si>
    <t>Assessoria Contábil</t>
  </si>
  <si>
    <t>Despesas da Empresa</t>
  </si>
  <si>
    <t>Capital de Giro</t>
  </si>
  <si>
    <t>Outros Empresa</t>
  </si>
  <si>
    <t>Dependentes</t>
  </si>
  <si>
    <t>Educação (colégio, faculdade)</t>
  </si>
  <si>
    <t>Rematrícula e Uniforme</t>
  </si>
  <si>
    <t>Cursos (idiomas, música, teatro, etc.)</t>
  </si>
  <si>
    <t>Vestuário / Calçados / Acessórios Dep</t>
  </si>
  <si>
    <t>Presentes / Festa de Aniversário</t>
  </si>
  <si>
    <t>Academia / Esportes Dependentes</t>
  </si>
  <si>
    <t>Mesada</t>
  </si>
  <si>
    <t>Auxílio para parentes</t>
  </si>
  <si>
    <t>Auxílio para amigos</t>
  </si>
  <si>
    <t>Outros Dependentes</t>
  </si>
  <si>
    <t>Diversos</t>
  </si>
  <si>
    <t>Animais de estimação</t>
  </si>
  <si>
    <t>Presentes</t>
  </si>
  <si>
    <t>Doações</t>
  </si>
  <si>
    <t>Loteria / Capitalização</t>
  </si>
  <si>
    <t>Outros Diversos</t>
  </si>
  <si>
    <t>NÃO OPERACIONAL</t>
  </si>
  <si>
    <t>Resgates</t>
  </si>
  <si>
    <t>Poupança</t>
  </si>
  <si>
    <t>Aplicações Financeiras</t>
  </si>
  <si>
    <t>Venda de Objetos</t>
  </si>
  <si>
    <t>Previdência</t>
  </si>
  <si>
    <t>Previdência Privada Empresa</t>
  </si>
  <si>
    <t>Previdência Privada Avulsa</t>
  </si>
  <si>
    <t>Previdência Privada Dependentes</t>
  </si>
  <si>
    <t>Outros Previdência</t>
  </si>
  <si>
    <t>Seguro de Vida</t>
  </si>
  <si>
    <t>Seguro de Vida Principal Provedor</t>
  </si>
  <si>
    <t>Seguro de Vida Cônjuge</t>
  </si>
  <si>
    <t>Outros Seguro de Vida</t>
  </si>
  <si>
    <t>Outros Seguros</t>
  </si>
  <si>
    <t>DIT / Doenças graves</t>
  </si>
  <si>
    <t>Responsabilidade Civil / Outros</t>
  </si>
  <si>
    <t>Outros Outros Seguros</t>
  </si>
  <si>
    <t>Financiamento</t>
  </si>
  <si>
    <t>Financiamento Automóvel</t>
  </si>
  <si>
    <t>Financiamento Imóvel</t>
  </si>
  <si>
    <t>Financiamento Outros Bens</t>
  </si>
  <si>
    <t>Consórcios</t>
  </si>
  <si>
    <t>Outros Financiamento</t>
  </si>
  <si>
    <t>Empréstimo</t>
  </si>
  <si>
    <t>Empréstimo Pessoal - Banco</t>
  </si>
  <si>
    <t>Empréstimo Pessoal - Família</t>
  </si>
  <si>
    <t>Empréstimo Pessoal - Outros</t>
  </si>
  <si>
    <t>Parcelamento Cartão de Crédito</t>
  </si>
  <si>
    <t>Renegociações de Dívidas</t>
  </si>
  <si>
    <t>Juros Cheque Especial</t>
  </si>
  <si>
    <t>Juros Cartão de Crédito</t>
  </si>
  <si>
    <t>Encargos Financeiros</t>
  </si>
  <si>
    <t>Outros Empréstimo</t>
  </si>
  <si>
    <t>Investimentos</t>
  </si>
  <si>
    <t>Aplicação para Reserva</t>
  </si>
  <si>
    <t>Projeto 1</t>
  </si>
  <si>
    <t>Projeto 2</t>
  </si>
  <si>
    <t>Projeto 3</t>
  </si>
  <si>
    <t>Cartão</t>
  </si>
  <si>
    <t>(data opcional)</t>
  </si>
  <si>
    <t>automático</t>
  </si>
  <si>
    <t>DT Compra</t>
  </si>
  <si>
    <t>DT Venc</t>
  </si>
  <si>
    <t>Descrição</t>
  </si>
  <si>
    <t>Valor</t>
  </si>
  <si>
    <t>Status</t>
  </si>
  <si>
    <t>Obs (OPCIONAL)</t>
  </si>
  <si>
    <t>CATEGORIA</t>
  </si>
  <si>
    <t>SUBCATEGORIA</t>
  </si>
  <si>
    <t>Meta</t>
  </si>
  <si>
    <t>Totalgasto</t>
  </si>
  <si>
    <t>DifMeta</t>
  </si>
  <si>
    <t>CONTA/CARTAO</t>
  </si>
  <si>
    <t>INST SIMPLES</t>
  </si>
  <si>
    <t>MÊS</t>
  </si>
  <si>
    <t>ANO</t>
  </si>
  <si>
    <t>RESULTADO</t>
  </si>
  <si>
    <t>CARTAOFATURA</t>
  </si>
  <si>
    <t>SALDO</t>
  </si>
  <si>
    <t>Instituição</t>
  </si>
  <si>
    <t>Fixa / Var</t>
  </si>
  <si>
    <t>Prazo Projeto</t>
  </si>
  <si>
    <t>Ativo</t>
  </si>
  <si>
    <t>Médio</t>
  </si>
  <si>
    <t>Longo</t>
  </si>
  <si>
    <t>Curto</t>
  </si>
  <si>
    <t>Descrição Bem</t>
  </si>
  <si>
    <t>Saldo devedor</t>
  </si>
  <si>
    <t>Descrição dívida</t>
  </si>
  <si>
    <t>Descrição Projeto</t>
  </si>
  <si>
    <t>Ano</t>
  </si>
  <si>
    <t>Envio inicial</t>
  </si>
  <si>
    <t>Valor Parcelas</t>
  </si>
  <si>
    <t>Registro de Arquivos OFX importados</t>
  </si>
  <si>
    <t>Registro Pagamento dos cartões (Automático)</t>
  </si>
  <si>
    <t>Data Extração</t>
  </si>
  <si>
    <t>Banco</t>
  </si>
  <si>
    <t>Período</t>
  </si>
  <si>
    <t>Nome do Arquivo</t>
  </si>
  <si>
    <t>Data Pagto</t>
  </si>
  <si>
    <t>Total Geral</t>
  </si>
  <si>
    <t>Soma de SALDO</t>
  </si>
  <si>
    <t>N° Parc. Pagar</t>
  </si>
  <si>
    <t>(Vários itens)</t>
  </si>
  <si>
    <t>Rótulos de Coluna</t>
  </si>
  <si>
    <t>Rótulos de Linha</t>
  </si>
  <si>
    <t>Soma de Valor</t>
  </si>
  <si>
    <t>Soma de DifMeta</t>
  </si>
  <si>
    <t>Soma de SALDO ATUAL</t>
  </si>
  <si>
    <t>Ativo Financeiro</t>
  </si>
  <si>
    <t>Ativo Imo</t>
  </si>
  <si>
    <t>Passivo Financeiro</t>
  </si>
  <si>
    <t>Passivo Imob</t>
  </si>
  <si>
    <t>Passivo</t>
  </si>
  <si>
    <t>Patr. Líq.</t>
  </si>
  <si>
    <t>Fator da Reserva</t>
  </si>
  <si>
    <t>RESERVA</t>
  </si>
  <si>
    <t>CURTO</t>
  </si>
  <si>
    <t>MÉDIO</t>
  </si>
  <si>
    <t>LONGO</t>
  </si>
  <si>
    <t>APOSEN</t>
  </si>
  <si>
    <t>NECESSIDADE</t>
  </si>
  <si>
    <t>APLICADO</t>
  </si>
  <si>
    <t>%</t>
  </si>
  <si>
    <t>R$</t>
  </si>
  <si>
    <t>Prazo (Autom.)</t>
  </si>
  <si>
    <t>% faltante</t>
  </si>
  <si>
    <t>PESSOAS</t>
  </si>
  <si>
    <t>Pessoa</t>
  </si>
  <si>
    <t>Líquido (Aut.)</t>
  </si>
  <si>
    <t>Receita Mensal</t>
  </si>
  <si>
    <t>Custo de Vida Mensal (Ref. p/ Reser Emerg)</t>
  </si>
  <si>
    <t>sobre Custo de Vida Mensal, definido em Configurações</t>
  </si>
  <si>
    <t>Qtde Contas</t>
  </si>
  <si>
    <t>AGUA E LUZ</t>
  </si>
  <si>
    <t>GASOLINA</t>
  </si>
  <si>
    <t>INTERNET CASA</t>
  </si>
  <si>
    <t>INTERNET CELULAR</t>
  </si>
  <si>
    <t>SPOTIFY</t>
  </si>
  <si>
    <t>KINDLE</t>
  </si>
  <si>
    <t>CANVA</t>
  </si>
  <si>
    <t>RENNER</t>
  </si>
  <si>
    <t>CELULAR</t>
  </si>
  <si>
    <t>FONTE, COOLER</t>
  </si>
  <si>
    <t>CARTÃO NUBANK</t>
  </si>
  <si>
    <t>CADEIRA</t>
  </si>
  <si>
    <t>MAE</t>
  </si>
  <si>
    <t>PROCESSADOR</t>
  </si>
  <si>
    <t>APPLE</t>
  </si>
  <si>
    <t>PLACA MAE</t>
  </si>
  <si>
    <t>SHOPEE</t>
  </si>
  <si>
    <t>SHEIN</t>
  </si>
  <si>
    <t>TECLADO</t>
  </si>
  <si>
    <t>ANIVERSARIO DE NAMORO</t>
  </si>
  <si>
    <t>DIA DIA(Yasmin)</t>
  </si>
  <si>
    <t>DROGASIL(YASMIN)</t>
  </si>
  <si>
    <t>TECLADO E MOUSE</t>
  </si>
  <si>
    <t>teclado e mouse</t>
  </si>
  <si>
    <t>Mãe</t>
  </si>
  <si>
    <t>Eu</t>
  </si>
  <si>
    <t>Yasmin</t>
  </si>
  <si>
    <t>2026 Total</t>
  </si>
  <si>
    <t>Pix</t>
  </si>
  <si>
    <t>CARRO</t>
  </si>
  <si>
    <t>COMUNICAÇÃO - Internet</t>
  </si>
  <si>
    <t>PESSOAIS - INTERNET CELULAR</t>
  </si>
  <si>
    <t>COMUNICAÇÃO - Apps (Netflix, Spotify, Skype, etc)</t>
  </si>
  <si>
    <t>LAZER - CELULAR</t>
  </si>
  <si>
    <t>LAZER - FONTE, COOLER</t>
  </si>
  <si>
    <t>LAZER - CADEIRA</t>
  </si>
  <si>
    <t>LAZER - PLACA MAE</t>
  </si>
  <si>
    <t>LAZER - PROCESSADOR</t>
  </si>
  <si>
    <t>LAZER - APPLE</t>
  </si>
  <si>
    <t>LAZER - SHOPEE</t>
  </si>
  <si>
    <t>LAZER - SHEIN</t>
  </si>
  <si>
    <t>LAZER - TECLADO</t>
  </si>
  <si>
    <t>LAZER - ANIVERSARIO DE NAMORO</t>
  </si>
  <si>
    <t>LAZER - DIA DIA(Yasmin)</t>
  </si>
  <si>
    <t>LAZER - DROGASIL(YASMIN)</t>
  </si>
  <si>
    <t>LAZER - TECLADO E MOUSE</t>
  </si>
  <si>
    <t>RENDA PRINCIPAL - Salário Principal</t>
  </si>
  <si>
    <t>RENDA EXTRA - Outras fontes de renda</t>
  </si>
  <si>
    <t>EU</t>
  </si>
  <si>
    <t>eu</t>
  </si>
  <si>
    <t>ESTRORNO TECLADO E MOUSE</t>
  </si>
  <si>
    <t>LAZER - ESTRORNO TECLADO E MOUSE</t>
  </si>
  <si>
    <t>ALIMENTAÇÃO - Lanches &amp; Snacks</t>
  </si>
  <si>
    <t>SAÚDE - Medicamentos / Farmácia</t>
  </si>
  <si>
    <t>MORADIA - Utensílios e Eletrodomésticos</t>
  </si>
  <si>
    <t>BIG UTILIDADE</t>
  </si>
  <si>
    <t>Drogasil</t>
  </si>
  <si>
    <t>Previsto</t>
  </si>
  <si>
    <t>DEPENDENTES - Presentes / Festa de Aniversário</t>
  </si>
  <si>
    <t>Aniversario</t>
  </si>
  <si>
    <t>DIVERSOS - Presentes</t>
  </si>
  <si>
    <t>LANGERIE</t>
  </si>
  <si>
    <t>MORADIA - Água</t>
  </si>
  <si>
    <t>TRANSPORTE - Combustível</t>
  </si>
  <si>
    <t>Spotfy</t>
  </si>
  <si>
    <t>Kindle</t>
  </si>
  <si>
    <t>Ccanva</t>
  </si>
  <si>
    <t>EMPRÉSTIMO - Parcelamento Cartão de Crédito</t>
  </si>
  <si>
    <t>Renner</t>
  </si>
  <si>
    <t>Nubank</t>
  </si>
  <si>
    <t>EMPRÉSTIMO - Empréstimo Pessoal - Banco</t>
  </si>
  <si>
    <t>YASMIN</t>
  </si>
  <si>
    <t>Nubank Yasmin</t>
  </si>
  <si>
    <t>SAMUEL</t>
  </si>
  <si>
    <t>Samuel</t>
  </si>
  <si>
    <t>Jul</t>
  </si>
  <si>
    <t>Nov</t>
  </si>
  <si>
    <t>Jun</t>
  </si>
  <si>
    <t>ALIMENTAÇÃO - Supermercado</t>
  </si>
  <si>
    <t>Credito</t>
  </si>
  <si>
    <t>NILZE</t>
  </si>
  <si>
    <t>RCS</t>
  </si>
  <si>
    <t>Samuel placa mãe e processador</t>
  </si>
  <si>
    <t>2027 Total</t>
  </si>
  <si>
    <t>Jan</t>
  </si>
  <si>
    <t>Mar</t>
  </si>
  <si>
    <t>LAZER - Outros Lazer</t>
  </si>
  <si>
    <t>OVO DE PASCOA 2/4</t>
  </si>
  <si>
    <t>OVO DE PASCOA 3/4</t>
  </si>
  <si>
    <t>OVO DE PASCOA 4/4</t>
  </si>
  <si>
    <t>Aniversario Yasmin</t>
  </si>
  <si>
    <t>Bolo Aniverssário da Yasmin</t>
  </si>
  <si>
    <t>pix</t>
  </si>
  <si>
    <t>Emprestimo</t>
  </si>
  <si>
    <t>Emprestimo Creditas</t>
  </si>
  <si>
    <t>2028 Total</t>
  </si>
  <si>
    <t>CONSIGNADO</t>
  </si>
  <si>
    <t>Creditas</t>
  </si>
  <si>
    <t>EMPRESA</t>
  </si>
  <si>
    <t>Realizado</t>
  </si>
  <si>
    <t>Apr</t>
  </si>
  <si>
    <t>May</t>
  </si>
  <si>
    <t>Aug</t>
  </si>
  <si>
    <t>Sep</t>
  </si>
  <si>
    <t>Oct</t>
  </si>
  <si>
    <t>Dec</t>
  </si>
  <si>
    <t>Feb</t>
  </si>
  <si>
    <t>INVESTIMENTOS - Projeto 1</t>
  </si>
  <si>
    <t>Prova</t>
  </si>
  <si>
    <t>1900 Total</t>
  </si>
  <si>
    <t>Farmacia para nenem</t>
  </si>
  <si>
    <t>RESGATES - Venda de Objetos</t>
  </si>
  <si>
    <t>Luis</t>
  </si>
  <si>
    <t>Teclado</t>
  </si>
  <si>
    <t>Leo</t>
  </si>
  <si>
    <t>Memoria</t>
  </si>
  <si>
    <t>Igor</t>
  </si>
  <si>
    <t>Monitor</t>
  </si>
  <si>
    <t>Conta valorant</t>
  </si>
  <si>
    <t>Placa mae</t>
  </si>
  <si>
    <t>Cartão renner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</si>
</sst>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R$&quot;\ #,##0.00;[Red]\-&quot;R$&quot;\ #,##0.00"/>
    <numFmt numFmtId="165" formatCode="dd/mm/yy;@"/>
    <numFmt numFmtId="166" formatCode="&quot;R$&quot;\ #,##0.00"/>
  </numFmts>
  <fonts count="22" x14ac:knownFonts="1">
    <font>
      <sz val="11"/>
      <color theme="1"/>
      <name val="Calibri"/>
      <family val="2"/>
      <scheme val="minor"/>
    </font>
    <font>
      <i/>
      <sz val="9"/>
      <color theme="5"/>
      <name val="Calibri"/>
      <family val="2"/>
      <scheme val="minor"/>
    </font>
    <font>
      <i/>
      <sz val="9"/>
      <color theme="2" tint="-0.749992370372631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sz val="9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9.9978637043366805E-2"/>
      <name val="Calibri"/>
      <family val="2"/>
      <scheme val="minor"/>
    </font>
    <font>
      <b/>
      <sz val="11"/>
      <color theme="1" tint="-0.249977111117893"/>
      <name val="Calibri"/>
      <family val="2"/>
      <scheme val="minor"/>
    </font>
    <font>
      <i/>
      <sz val="9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8"/>
      <name val="Calibri"/>
      <family val="2"/>
      <scheme val="minor"/>
    </font>
    <font>
      <i/>
      <sz val="10"/>
      <color theme="3" tint="-0.499984740745262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b/>
      <sz val="11"/>
      <color theme="0" tint="-9.9978637043366805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29304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7485C"/>
        <bgColor indexed="64"/>
      </patternFill>
    </fill>
  </fills>
  <borders count="2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558BDD"/>
      </left>
      <right style="thin">
        <color rgb="FF558BDD"/>
      </right>
      <top style="thin">
        <color rgb="FFFFFFFF"/>
      </top>
      <bottom style="thin">
        <color rgb="FFFFFFFF"/>
      </bottom>
      <diagonal/>
    </border>
    <border>
      <left style="thin">
        <color rgb="FF558BDD"/>
      </left>
      <right style="thin">
        <color rgb="FF558BDD"/>
      </right>
      <top/>
      <bottom style="thin">
        <color rgb="FFFFFFFF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/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/>
    </xf>
    <xf numFmtId="0" fontId="3" fillId="3" borderId="0" xfId="0" applyFont="1" applyFill="1" applyAlignment="1">
      <alignment horizontal="centerContinuous" vertical="center"/>
    </xf>
    <xf numFmtId="0" fontId="0" fillId="3" borderId="0" xfId="0" applyFill="1" applyAlignment="1">
      <alignment horizontal="centerContinuous"/>
    </xf>
    <xf numFmtId="0" fontId="2" fillId="3" borderId="0" xfId="0" applyFont="1" applyFill="1" applyAlignment="1">
      <alignment horizontal="centerContinuous" vertical="center"/>
    </xf>
    <xf numFmtId="0" fontId="1" fillId="3" borderId="0" xfId="0" applyFont="1" applyFill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165" fontId="5" fillId="0" borderId="0" xfId="0" applyNumberFormat="1" applyFont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left"/>
    </xf>
    <xf numFmtId="4" fontId="8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6" fillId="2" borderId="0" xfId="0" applyFont="1" applyFill="1"/>
    <xf numFmtId="4" fontId="8" fillId="0" borderId="0" xfId="0" applyNumberFormat="1" applyFont="1" applyAlignment="1">
      <alignment horizontal="left" vertical="center"/>
    </xf>
    <xf numFmtId="0" fontId="9" fillId="5" borderId="0" xfId="0" applyFont="1" applyFill="1" applyAlignment="1">
      <alignment horizontal="centerContinuous" vertical="center"/>
    </xf>
    <xf numFmtId="0" fontId="10" fillId="5" borderId="0" xfId="0" applyFont="1" applyFill="1" applyAlignment="1">
      <alignment horizontal="centerContinuous" vertical="center"/>
    </xf>
    <xf numFmtId="0" fontId="9" fillId="5" borderId="0" xfId="0" applyFont="1" applyFill="1" applyAlignment="1">
      <alignment horizontal="centerContinuous"/>
    </xf>
    <xf numFmtId="0" fontId="10" fillId="5" borderId="0" xfId="0" applyFont="1" applyFill="1" applyAlignment="1">
      <alignment horizontal="centerContinuous"/>
    </xf>
    <xf numFmtId="0" fontId="10" fillId="5" borderId="0" xfId="0" applyFont="1" applyFill="1" applyAlignment="1">
      <alignment horizontal="left"/>
    </xf>
    <xf numFmtId="0" fontId="6" fillId="2" borderId="0" xfId="0" applyFont="1" applyFill="1" applyAlignment="1" applyProtection="1">
      <alignment horizontal="center" vertical="center"/>
      <protection locked="0"/>
    </xf>
    <xf numFmtId="0" fontId="0" fillId="0" borderId="0" xfId="0" pivotButton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4" fontId="0" fillId="0" borderId="0" xfId="0" applyNumberFormat="1"/>
    <xf numFmtId="0" fontId="11" fillId="4" borderId="0" xfId="0" applyFont="1" applyFill="1"/>
    <xf numFmtId="0" fontId="12" fillId="4" borderId="2" xfId="0" applyFont="1" applyFill="1" applyBorder="1" applyAlignment="1">
      <alignment horizontal="center" vertical="center"/>
    </xf>
    <xf numFmtId="9" fontId="12" fillId="4" borderId="2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0" fontId="13" fillId="6" borderId="0" xfId="0" applyFont="1" applyFill="1" applyAlignment="1">
      <alignment horizont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14" fillId="4" borderId="0" xfId="0" applyFont="1" applyFill="1"/>
    <xf numFmtId="3" fontId="0" fillId="6" borderId="0" xfId="0" applyNumberFormat="1" applyFill="1" applyAlignment="1">
      <alignment horizontal="center" vertical="center"/>
    </xf>
    <xf numFmtId="3" fontId="6" fillId="7" borderId="6" xfId="0" applyNumberFormat="1" applyFont="1" applyFill="1" applyBorder="1" applyAlignment="1">
      <alignment horizontal="center"/>
    </xf>
    <xf numFmtId="3" fontId="14" fillId="6" borderId="0" xfId="0" applyNumberFormat="1" applyFont="1" applyFill="1" applyAlignment="1">
      <alignment horizontal="center"/>
    </xf>
    <xf numFmtId="3" fontId="6" fillId="7" borderId="0" xfId="0" applyNumberFormat="1" applyFont="1" applyFill="1" applyAlignment="1">
      <alignment horizontal="center"/>
    </xf>
    <xf numFmtId="3" fontId="6" fillId="7" borderId="7" xfId="0" applyNumberFormat="1" applyFont="1" applyFill="1" applyBorder="1" applyAlignment="1">
      <alignment horizontal="center"/>
    </xf>
    <xf numFmtId="3" fontId="6" fillId="7" borderId="4" xfId="0" applyNumberFormat="1" applyFont="1" applyFill="1" applyBorder="1" applyAlignment="1">
      <alignment horizontal="center"/>
    </xf>
    <xf numFmtId="14" fontId="0" fillId="0" borderId="0" xfId="0" applyNumberFormat="1"/>
    <xf numFmtId="4" fontId="15" fillId="0" borderId="0" xfId="0" applyNumberFormat="1" applyFont="1" applyAlignment="1">
      <alignment horizontal="center"/>
    </xf>
    <xf numFmtId="0" fontId="16" fillId="4" borderId="0" xfId="0" applyFont="1" applyFill="1"/>
    <xf numFmtId="0" fontId="16" fillId="2" borderId="0" xfId="0" applyFont="1" applyFill="1"/>
    <xf numFmtId="14" fontId="5" fillId="0" borderId="0" xfId="0" applyNumberFormat="1" applyFont="1" applyAlignment="1">
      <alignment horizontal="center"/>
    </xf>
    <xf numFmtId="4" fontId="15" fillId="0" borderId="0" xfId="0" applyNumberFormat="1" applyFont="1" applyAlignment="1">
      <alignment horizontal="left"/>
    </xf>
    <xf numFmtId="0" fontId="17" fillId="4" borderId="0" xfId="0" applyFont="1" applyFill="1"/>
    <xf numFmtId="9" fontId="12" fillId="4" borderId="1" xfId="0" applyNumberFormat="1" applyFont="1" applyFill="1" applyBorder="1" applyAlignment="1">
      <alignment horizontal="center" vertical="center"/>
    </xf>
    <xf numFmtId="0" fontId="18" fillId="4" borderId="0" xfId="0" applyFont="1" applyFill="1" applyAlignment="1">
      <alignment horizontal="right"/>
    </xf>
    <xf numFmtId="4" fontId="19" fillId="4" borderId="0" xfId="0" applyNumberFormat="1" applyFont="1" applyFill="1" applyAlignment="1">
      <alignment horizontal="left"/>
    </xf>
    <xf numFmtId="0" fontId="20" fillId="4" borderId="0" xfId="0" applyFont="1" applyFill="1" applyAlignment="1">
      <alignment vertical="top"/>
    </xf>
    <xf numFmtId="0" fontId="0" fillId="2" borderId="0" xfId="0" applyFill="1" applyAlignment="1">
      <alignment horizontal="center"/>
    </xf>
    <xf numFmtId="4" fontId="21" fillId="5" borderId="8" xfId="0" applyNumberFormat="1" applyFont="1" applyFill="1" applyBorder="1" applyAlignment="1">
      <alignment horizontal="center"/>
    </xf>
    <xf numFmtId="4" fontId="21" fillId="5" borderId="9" xfId="0" applyNumberFormat="1" applyFont="1" applyFill="1" applyBorder="1" applyAlignment="1">
      <alignment horizontal="center"/>
    </xf>
    <xf numFmtId="4" fontId="21" fillId="5" borderId="10" xfId="0" applyNumberFormat="1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2" fontId="0" fillId="0" borderId="0" xfId="0" applyNumberFormat="1"/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64" fontId="0" fillId="0" borderId="0" xfId="0" applyNumberFormat="1" applyAlignment="1">
      <alignment horizontal="center"/>
    </xf>
    <xf numFmtId="0" fontId="0" fillId="0" borderId="14" xfId="0" pivotButton="1" applyBorder="1"/>
    <xf numFmtId="0" fontId="0" fillId="0" borderId="15" xfId="0" applyBorder="1"/>
    <xf numFmtId="0" fontId="0" fillId="0" borderId="15" xfId="0" pivotButton="1" applyBorder="1"/>
    <xf numFmtId="0" fontId="0" fillId="0" borderId="0" xfId="0" applyAlignment="1">
      <alignment horizontal="left" indent="1"/>
    </xf>
    <xf numFmtId="0" fontId="0" fillId="0" borderId="16" xfId="0" pivotButton="1" applyBorder="1"/>
    <xf numFmtId="0" fontId="0" fillId="0" borderId="16" xfId="0" applyBorder="1"/>
    <xf numFmtId="0" fontId="0" fillId="0" borderId="17" xfId="0" applyBorder="1"/>
    <xf numFmtId="0" fontId="0" fillId="0" borderId="16" xfId="0" applyBorder="1" applyAlignment="1">
      <alignment horizontal="left"/>
    </xf>
    <xf numFmtId="4" fontId="0" fillId="0" borderId="16" xfId="0" applyNumberFormat="1" applyBorder="1"/>
    <xf numFmtId="0" fontId="0" fillId="0" borderId="17" xfId="0" applyNumberFormat="1" applyBorder="1"/>
    <xf numFmtId="0" fontId="0" fillId="0" borderId="18" xfId="0" applyBorder="1" applyAlignment="1">
      <alignment horizontal="left"/>
    </xf>
    <xf numFmtId="4" fontId="0" fillId="0" borderId="18" xfId="0" applyNumberFormat="1" applyBorder="1"/>
    <xf numFmtId="0" fontId="0" fillId="0" borderId="19" xfId="0" applyNumberFormat="1" applyBorder="1"/>
    <xf numFmtId="0" fontId="0" fillId="0" borderId="14" xfId="0" applyBorder="1" applyAlignment="1">
      <alignment horizontal="left"/>
    </xf>
    <xf numFmtId="4" fontId="0" fillId="0" borderId="14" xfId="0" applyNumberFormat="1" applyBorder="1"/>
    <xf numFmtId="0" fontId="0" fillId="0" borderId="20" xfId="0" applyNumberFormat="1" applyBorder="1"/>
    <xf numFmtId="0" fontId="0" fillId="0" borderId="21" xfId="0" applyBorder="1"/>
    <xf numFmtId="4" fontId="0" fillId="0" borderId="21" xfId="0" applyNumberFormat="1" applyBorder="1"/>
    <xf numFmtId="4" fontId="0" fillId="0" borderId="22" xfId="0" applyNumberFormat="1" applyBorder="1"/>
    <xf numFmtId="4" fontId="0" fillId="0" borderId="15" xfId="0" applyNumberFormat="1" applyBorder="1"/>
    <xf numFmtId="0" fontId="0" fillId="0" borderId="23" xfId="0" applyBorder="1"/>
    <xf numFmtId="4" fontId="0" fillId="0" borderId="17" xfId="0" applyNumberFormat="1" applyBorder="1"/>
    <xf numFmtId="0" fontId="0" fillId="0" borderId="18" xfId="0" applyBorder="1" applyAlignment="1">
      <alignment horizontal="left" indent="1"/>
    </xf>
    <xf numFmtId="4" fontId="0" fillId="0" borderId="19" xfId="0" applyNumberFormat="1" applyBorder="1"/>
    <xf numFmtId="0" fontId="0" fillId="0" borderId="24" xfId="0" applyBorder="1" applyAlignment="1">
      <alignment horizontal="left" indent="1"/>
    </xf>
    <xf numFmtId="4" fontId="0" fillId="0" borderId="24" xfId="0" applyNumberFormat="1" applyBorder="1"/>
    <xf numFmtId="4" fontId="0" fillId="0" borderId="25" xfId="0" applyNumberFormat="1" applyBorder="1"/>
    <xf numFmtId="0" fontId="0" fillId="0" borderId="0" xfId="0" applyFont="1"/>
    <xf numFmtId="4" fontId="0" fillId="0" borderId="0" xfId="0" applyNumberFormat="1" applyFont="1" applyAlignment="1">
      <alignment horizontal="center"/>
    </xf>
    <xf numFmtId="0" fontId="0" fillId="0" borderId="0" xfId="0" applyNumberFormat="1" applyFont="1"/>
    <xf numFmtId="2" fontId="0" fillId="0" borderId="0" xfId="0" applyNumberFormat="1" applyFont="1"/>
  </cellXfs>
  <cellStyles count="1">
    <cellStyle name="Normal" xfId="0" builtinId="0"/>
  </cellStyles>
  <dxfs count="475"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font>
        <b/>
        <i val="0"/>
        <color rgb="FF0070C0"/>
      </font>
    </dxf>
    <dxf>
      <font>
        <b/>
        <i val="0"/>
        <color rgb="FFEE0000"/>
      </font>
    </dxf>
    <dxf>
      <font>
        <color theme="3" tint="-0.24994659260841701"/>
      </font>
    </dxf>
    <dxf>
      <font>
        <color rgb="FFFFFFFF"/>
      </font>
      <fill>
        <patternFill>
          <bgColor rgb="FFEE0000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dd/mm/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</dxf>
    <dxf>
      <protection locked="0" hidden="0"/>
    </dxf>
    <dxf>
      <protection locked="0" hidden="0"/>
    </dxf>
    <dxf>
      <fill>
        <patternFill patternType="none">
          <fgColor indexed="64"/>
          <bgColor theme="8"/>
        </patternFill>
      </fill>
    </dxf>
    <dxf>
      <numFmt numFmtId="0" formatCode="General"/>
    </dxf>
    <dxf>
      <numFmt numFmtId="4" formatCode="#,##0.00"/>
      <alignment horizontal="left" vertical="bottom" textRotation="0" wrapText="0" indent="0" justifyLastLine="0" shrinkToFit="0" readingOrder="0"/>
    </dxf>
    <dxf>
      <numFmt numFmtId="4" formatCode="#,##0.00"/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8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numFmt numFmtId="0" formatCode="General"/>
    </dxf>
    <dxf>
      <fill>
        <patternFill patternType="solid">
          <fgColor indexed="64"/>
          <bgColor theme="8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1"/>
        <color theme="8"/>
        <name val="Calibri"/>
        <family val="2"/>
        <scheme val="minor"/>
      </font>
      <numFmt numFmtId="4" formatCode="#,##0.00"/>
      <alignment horizontal="lef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0" tint="-9.9978637043366805E-2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&quot;R$&quot;\ #,##0.00"/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-0.249977111117893"/>
        <name val="Calibri"/>
        <family val="2"/>
        <scheme val="minor"/>
      </font>
      <numFmt numFmtId="4" formatCode="#,##0.00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-0.249977111117893"/>
        <name val="Calibri"/>
        <family val="2"/>
        <scheme val="minor"/>
      </font>
      <numFmt numFmtId="4" formatCode="#,##0.00"/>
      <alignment horizontal="left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-0.249977111117893"/>
        <name val="Calibri"/>
        <family val="2"/>
        <scheme val="minor"/>
      </font>
      <numFmt numFmtId="4" formatCode="#,##0.00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  <numFmt numFmtId="4" formatCode="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dd/mm/yy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dd/mm/yy;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family val="2"/>
        <scheme val="minor"/>
      </font>
    </dxf>
    <dxf>
      <font>
        <color theme="5"/>
      </font>
    </dxf>
    <dxf>
      <font>
        <b/>
        <i val="0"/>
        <color theme="9"/>
      </font>
      <fill>
        <patternFill>
          <bgColor theme="6"/>
        </patternFill>
      </fill>
    </dxf>
    <dxf>
      <font>
        <b/>
        <i val="0"/>
        <color theme="3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4"/>
        </patternFill>
      </fill>
    </dxf>
    <dxf>
      <font>
        <color theme="9"/>
      </font>
      <border>
        <left style="thin">
          <color theme="0" tint="-9.9948118533890809E-2"/>
        </left>
        <right style="thin">
          <color theme="0" tint="-9.9948118533890809E-2"/>
        </right>
        <top style="thin">
          <color theme="0" tint="-9.9917600024414813E-2"/>
        </top>
        <bottom style="thin">
          <color theme="0" tint="-9.9917600024414813E-2"/>
        </bottom>
      </border>
    </dxf>
    <dxf>
      <font>
        <color theme="0" tint="-0.24994659260841701"/>
      </font>
      <fill>
        <patternFill>
          <bgColor theme="9"/>
        </patternFill>
      </fill>
      <border>
        <top style="thin">
          <color theme="0"/>
        </top>
        <bottom style="thin">
          <color theme="0"/>
        </bottom>
      </border>
    </dxf>
    <dxf>
      <font>
        <color theme="0" tint="-0.24994659260841701"/>
      </font>
      <fill>
        <patternFill>
          <bgColor theme="9"/>
        </patternFill>
      </fill>
      <border>
        <top style="thin">
          <color theme="3"/>
        </top>
        <bottom style="thin">
          <color theme="3"/>
        </bottom>
      </border>
    </dxf>
    <dxf>
      <font>
        <b/>
        <i val="0"/>
      </font>
      <border>
        <left style="medium">
          <color theme="9"/>
        </left>
        <right style="medium">
          <color theme="9"/>
        </right>
        <top style="medium">
          <color theme="9"/>
        </top>
        <bottom style="medium">
          <color theme="9"/>
        </bottom>
      </border>
    </dxf>
    <dxf>
      <font>
        <b/>
        <i val="0"/>
        <color rgb="FFFFFFFF"/>
      </font>
      <fill>
        <patternFill>
          <bgColor theme="9"/>
        </patternFill>
      </fill>
    </dxf>
    <dxf>
      <font>
        <b/>
        <i val="0"/>
        <color theme="9"/>
      </font>
    </dxf>
    <dxf>
      <font>
        <color theme="0" tint="-0.24994659260841701"/>
      </font>
      <fill>
        <patternFill>
          <bgColor theme="9"/>
        </patternFill>
      </fill>
    </dxf>
    <dxf>
      <font>
        <color theme="5"/>
      </font>
    </dxf>
    <dxf>
      <font>
        <b/>
        <i val="0"/>
        <color theme="9"/>
      </font>
      <fill>
        <patternFill>
          <bgColor theme="6"/>
        </patternFill>
      </fill>
    </dxf>
    <dxf>
      <font>
        <b/>
        <i val="0"/>
        <color theme="3"/>
      </font>
      <fill>
        <patternFill>
          <bgColor theme="4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4"/>
        </patternFill>
      </fill>
    </dxf>
    <dxf>
      <font>
        <color theme="9"/>
      </font>
      <border>
        <left style="thin">
          <color theme="0" tint="-9.9948118533890809E-2"/>
        </left>
        <right style="thin">
          <color theme="0" tint="-9.9948118533890809E-2"/>
        </right>
        <top style="thin">
          <color theme="0" tint="-9.9917600024414813E-2"/>
        </top>
        <bottom style="thin">
          <color theme="0" tint="-9.9917600024414813E-2"/>
        </bottom>
      </border>
    </dxf>
    <dxf>
      <font>
        <color theme="0" tint="-0.24994659260841701"/>
      </font>
      <border>
        <top style="thin">
          <color theme="0"/>
        </top>
        <bottom style="thin">
          <color theme="0"/>
        </bottom>
      </border>
    </dxf>
    <dxf>
      <font>
        <color theme="0" tint="-0.24994659260841701"/>
      </font>
      <border>
        <top style="thin">
          <color theme="3"/>
        </top>
        <bottom style="thin">
          <color theme="3"/>
        </bottom>
      </border>
    </dxf>
    <dxf>
      <font>
        <b/>
        <i val="0"/>
      </font>
      <border>
        <left style="medium">
          <color theme="9"/>
        </left>
        <right style="medium">
          <color theme="9"/>
        </right>
        <top style="medium">
          <color theme="9"/>
        </top>
        <bottom style="medium">
          <color theme="9"/>
        </bottom>
      </border>
    </dxf>
    <dxf>
      <font>
        <b/>
        <i val="0"/>
        <color rgb="FFFFFFFF"/>
      </font>
      <fill>
        <patternFill>
          <bgColor theme="9"/>
        </patternFill>
      </fill>
    </dxf>
    <dxf>
      <font>
        <b/>
        <i val="0"/>
        <color theme="9"/>
      </font>
    </dxf>
    <dxf>
      <font>
        <color theme="1"/>
      </font>
    </dxf>
    <dxf>
      <font>
        <b/>
        <i val="0"/>
        <sz val="9"/>
        <color theme="0"/>
      </font>
      <border>
        <bottom style="thin">
          <color theme="4"/>
        </bottom>
        <vertical/>
        <horizontal/>
      </border>
    </dxf>
    <dxf>
      <font>
        <b val="0"/>
        <i val="0"/>
        <sz val="7"/>
        <color theme="6"/>
      </font>
      <fill>
        <patternFill>
          <bgColor rgb="FF293049"/>
        </patternFill>
      </fill>
      <border>
        <left/>
        <right/>
        <top/>
        <bottom/>
        <vertical/>
        <horizontal/>
      </border>
    </dxf>
    <dxf>
      <font>
        <b/>
        <i val="0"/>
        <sz val="9"/>
        <color theme="0"/>
      </font>
      <border>
        <bottom style="thin">
          <color theme="4"/>
        </bottom>
        <vertical/>
        <horizontal/>
      </border>
    </dxf>
    <dxf>
      <font>
        <b val="0"/>
        <i val="0"/>
        <sz val="7"/>
        <color theme="6"/>
      </font>
      <fill>
        <patternFill>
          <bgColor theme="9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color theme="0" tint="-0.749961851863155"/>
      </font>
    </dxf>
    <dxf>
      <font>
        <color theme="0" tint="-0.749961851863155"/>
      </font>
      <fill>
        <patternFill patternType="solid">
          <fgColor theme="0" tint="-0.14990691854609822"/>
          <bgColor theme="3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b/>
        <i val="0"/>
        <color theme="0"/>
      </font>
      <fill>
        <patternFill patternType="solid">
          <fgColor theme="5"/>
          <bgColor theme="8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</dxfs>
  <tableStyles count="5" defaultTableStyle="TableStyleMedium2" defaultPivotStyle="PivotStyleLight16">
    <tableStyle name="Controle Pessoal V6" pivot="0" count="8" xr9:uid="{0E4AF0B2-950E-48C9-B1F8-AD7612886E46}">
      <tableStyleElement type="wholeTable" dxfId="474"/>
      <tableStyleElement type="headerRow" dxfId="473"/>
      <tableStyleElement type="totalRow" dxfId="472"/>
      <tableStyleElement type="firstColumn" dxfId="471"/>
      <tableStyleElement type="lastColumn" dxfId="470"/>
      <tableStyleElement type="firstRowStripe" dxfId="469"/>
      <tableStyleElement type="secondRowStripe" dxfId="468"/>
      <tableStyleElement type="firstColumnStripe" dxfId="467"/>
    </tableStyle>
    <tableStyle name="Pessoal V6" pivot="0" table="0" count="10" xr9:uid="{F2294267-BC43-4E0D-979D-8D534A500854}">
      <tableStyleElement type="wholeTable" dxfId="466"/>
      <tableStyleElement type="headerRow" dxfId="465"/>
    </tableStyle>
    <tableStyle name="Pessoal V6 2" pivot="0" table="0" count="10" xr9:uid="{F892CCD5-1A89-4CE7-ADE3-75158E867C52}">
      <tableStyleElement type="wholeTable" dxfId="464"/>
      <tableStyleElement type="headerRow" dxfId="463"/>
    </tableStyle>
    <tableStyle name="Planilha Pessoal V6" table="0" count="12" xr9:uid="{C993153F-4591-4AE6-B711-00624901EC3B}">
      <tableStyleElement type="wholeTable" dxfId="462"/>
      <tableStyleElement type="headerRow" dxfId="461"/>
      <tableStyleElement type="totalRow" dxfId="460"/>
      <tableStyleElement type="lastColumn" dxfId="459"/>
      <tableStyleElement type="firstRowStripe" dxfId="458"/>
      <tableStyleElement type="secondRowStripe" dxfId="457"/>
      <tableStyleElement type="firstSubtotalColumn" dxfId="456"/>
      <tableStyleElement type="firstSubtotalRow" dxfId="455"/>
      <tableStyleElement type="firstRowSubheading" dxfId="454"/>
      <tableStyleElement type="secondRowSubheading" dxfId="453"/>
      <tableStyleElement type="thirdRowSubheading" dxfId="452"/>
      <tableStyleElement type="pageFieldLabels" dxfId="451"/>
    </tableStyle>
    <tableStyle name="Planilha Pessoal V6 2" table="0" count="12" xr9:uid="{3F009BEB-49F7-4451-905B-013368AE8ABF}">
      <tableStyleElement type="wholeTable" dxfId="450"/>
      <tableStyleElement type="headerRow" dxfId="449"/>
      <tableStyleElement type="totalRow" dxfId="448"/>
      <tableStyleElement type="lastColumn" dxfId="447"/>
      <tableStyleElement type="firstRowStripe" dxfId="446"/>
      <tableStyleElement type="secondRowStripe" dxfId="445"/>
      <tableStyleElement type="firstSubtotalColumn" dxfId="444"/>
      <tableStyleElement type="firstSubtotalRow" dxfId="443"/>
      <tableStyleElement type="firstRowSubheading" dxfId="442"/>
      <tableStyleElement type="secondRowSubheading" dxfId="441"/>
      <tableStyleElement type="thirdRowSubheading" dxfId="440"/>
      <tableStyleElement type="pageFieldLabels" dxfId="439"/>
    </tableStyle>
  </tableStyles>
  <colors>
    <mruColors>
      <color rgb="FFFFFFFF"/>
      <color rgb="FFEE0000"/>
      <color rgb="FF293049"/>
      <color rgb="FFCCCCCC"/>
      <color rgb="FF8B8B8B"/>
      <color rgb="FF37485C"/>
      <color rgb="FF558BDD"/>
      <color rgb="FF000000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8"/>
            <color theme="9"/>
          </font>
          <fill>
            <patternFill patternType="none">
              <fgColor indexed="64"/>
              <bgColor auto="1"/>
            </patternFill>
          </fill>
          <border>
            <left/>
            <right/>
            <top/>
            <bottom/>
            <vertical/>
            <horizontal/>
          </border>
        </dxf>
        <dxf>
          <font>
            <sz val="8"/>
            <color theme="0"/>
            <name val="Arial Black"/>
            <family val="2"/>
            <scheme val="none"/>
          </font>
          <fill>
            <patternFill patternType="solid">
              <fgColor theme="4" tint="0.59999389629810485"/>
              <bgColor theme="5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8B8B8B"/>
          </font>
          <fill>
            <patternFill patternType="solid">
              <fgColor indexed="64"/>
              <bgColor theme="8"/>
            </patternFill>
          </fill>
          <border>
            <left/>
            <right/>
            <top/>
            <bottom/>
            <vertical/>
            <horizontal/>
          </border>
        </dxf>
        <dxf>
          <font>
            <sz val="8"/>
            <color rgb="FF8B8B8B"/>
          </font>
          <fill>
            <patternFill patternType="solid">
              <fgColor indexed="64"/>
              <bgColor theme="8"/>
            </patternFill>
          </fill>
          <border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 val="0"/>
            <i val="0"/>
            <sz val="8"/>
            <color theme="8"/>
          </font>
          <fill>
            <patternFill patternType="solid">
              <fgColor indexed="64"/>
              <bgColor theme="9"/>
            </patternFill>
          </fill>
          <border>
            <left/>
            <right/>
            <top/>
            <bottom/>
            <vertical/>
            <horizontal/>
          </border>
        </dxf>
        <dxf>
          <font>
            <sz val="8"/>
            <color theme="0"/>
            <name val="Arial Black"/>
            <family val="2"/>
            <scheme val="none"/>
          </font>
          <fill>
            <patternFill patternType="solid">
              <fgColor theme="4" tint="0.59999389629810485"/>
              <bgColor theme="5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8B8B8B"/>
          </font>
          <fill>
            <patternFill patternType="solid">
              <fgColor indexed="64"/>
              <bgColor theme="9"/>
            </patternFill>
          </fill>
          <border>
            <left/>
            <right/>
            <top/>
            <bottom/>
            <vertical/>
            <horizontal/>
          </border>
        </dxf>
        <dxf>
          <font>
            <sz val="8"/>
            <color rgb="FF8B8B8B"/>
          </font>
          <fill>
            <patternFill patternType="solid">
              <fgColor indexed="64"/>
              <bgColor theme="9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Pessoal V6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Pessoal V6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microsoft.com/office/2007/relationships/slicerCache" Target="slicerCaches/slicerCache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Relationship Id="rId22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Financ. Pessoal 6.0 - R00.xlsm]BASE_APOIO!Receitas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ln>
            <a:noFill/>
          </a:ln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none" anchor="ctr" anchorCtr="1"/>
            <a:lstStyle/>
            <a:p>
              <a:pPr>
                <a:defRPr sz="900" b="1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  <c:pivotFmt>
        <c:idx val="7"/>
        <c:spPr>
          <a:solidFill>
            <a:srgbClr val="2C96B9"/>
          </a:solidFill>
          <a:ln w="19050">
            <a:noFill/>
          </a:ln>
          <a:effectLst/>
        </c:spPr>
      </c:pivotFmt>
      <c:pivotFmt>
        <c:idx val="8"/>
        <c:spPr>
          <a:solidFill>
            <a:srgbClr val="2C96B9"/>
          </a:solidFill>
          <a:ln w="19050">
            <a:noFill/>
          </a:ln>
          <a:effectLst/>
        </c:spPr>
      </c:pivotFmt>
      <c:pivotFmt>
        <c:idx val="9"/>
        <c:spPr>
          <a:solidFill>
            <a:srgbClr val="2C96B9"/>
          </a:solidFill>
          <a:ln w="19050">
            <a:noFill/>
          </a:ln>
          <a:effectLst/>
        </c:spPr>
      </c:pivotFmt>
      <c:pivotFmt>
        <c:idx val="10"/>
        <c:spPr>
          <a:solidFill>
            <a:srgbClr val="57C6E7"/>
          </a:solidFill>
          <a:ln w="19050">
            <a:noFill/>
          </a:ln>
          <a:effectLst/>
        </c:spPr>
      </c:pivotFmt>
      <c:pivotFmt>
        <c:idx val="11"/>
        <c:spPr>
          <a:solidFill>
            <a:srgbClr val="2C96B9"/>
          </a:solidFill>
          <a:ln>
            <a:noFill/>
          </a:ln>
        </c:spPr>
      </c:pivotFmt>
      <c:pivotFmt>
        <c:idx val="12"/>
        <c:spPr>
          <a:solidFill>
            <a:srgbClr val="2C96B9"/>
          </a:solidFill>
          <a:ln>
            <a:noFill/>
          </a:ln>
        </c:spPr>
      </c:pivotFmt>
    </c:pivotFmts>
    <c:plotArea>
      <c:layout>
        <c:manualLayout>
          <c:layoutTarget val="inner"/>
          <c:xMode val="edge"/>
          <c:yMode val="edge"/>
          <c:x val="0.17126191784166514"/>
          <c:y val="0.14112741589119543"/>
          <c:w val="0.57170421088668277"/>
          <c:h val="0.49807563827248874"/>
        </c:manualLayout>
      </c:layout>
      <c:doughnutChart>
        <c:varyColors val="1"/>
        <c:ser>
          <c:idx val="0"/>
          <c:order val="0"/>
          <c:tx>
            <c:strRef>
              <c:f>BASE_APOIO!$C$4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2C96B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7FD-41B0-B665-2FF2035F9974}"/>
              </c:ext>
            </c:extLst>
          </c:dPt>
          <c:dPt>
            <c:idx val="1"/>
            <c:bubble3D val="0"/>
            <c:spPr>
              <a:solidFill>
                <a:srgbClr val="57C6E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7FD-41B0-B665-2FF2035F997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67FD-41B0-B665-2FF2035F997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7-67FD-41B0-B665-2FF2035F997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BASE_APOIO!$B$5:$B$7</c:f>
              <c:strCache>
                <c:ptCount val="2"/>
                <c:pt idx="0">
                  <c:v>Renda Principal</c:v>
                </c:pt>
                <c:pt idx="1">
                  <c:v>Resgates</c:v>
                </c:pt>
              </c:strCache>
            </c:strRef>
          </c:cat>
          <c:val>
            <c:numRef>
              <c:f>BASE_APOIO!$C$5:$C$7</c:f>
              <c:numCache>
                <c:formatCode>#,##0.00</c:formatCode>
                <c:ptCount val="2"/>
                <c:pt idx="0">
                  <c:v>2927</c:v>
                </c:pt>
                <c:pt idx="1">
                  <c:v>1025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7FD-41B0-B665-2FF2035F99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92285746890335"/>
          <c:y val="0.70062117235345589"/>
          <c:w val="0.60917598263180062"/>
          <c:h val="0.288542393739244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bg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Financ. Pessoal 6.0 - R00.xlsm]BASE_APOIO!Gastos Cartão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8B8B8B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BASE_APOIO!$Z$3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8B8B8B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BASE_APOIO!$Y$4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BASE_APOIO!$Z$4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961-44C1-8B0F-0222A194E8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695193135"/>
        <c:axId val="1695188335"/>
      </c:barChart>
      <c:catAx>
        <c:axId val="16951931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8B8B8B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5188335"/>
        <c:crosses val="autoZero"/>
        <c:auto val="1"/>
        <c:lblAlgn val="ctr"/>
        <c:lblOffset val="100"/>
        <c:noMultiLvlLbl val="0"/>
      </c:catAx>
      <c:valAx>
        <c:axId val="1695188335"/>
        <c:scaling>
          <c:orientation val="minMax"/>
        </c:scaling>
        <c:delete val="1"/>
        <c:axPos val="b"/>
        <c:numFmt formatCode="#,##0,\ &quot;K&quot;" sourceLinked="0"/>
        <c:majorTickMark val="none"/>
        <c:minorTickMark val="none"/>
        <c:tickLblPos val="nextTo"/>
        <c:crossAx val="1695193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Financ. Pessoal 6.0 - R00.xlsm]BASE_APOIO!Evolução Receitas e Despesas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>
            <a:gsLst>
              <a:gs pos="0">
                <a:schemeClr val="accent1">
                  <a:alpha val="10000"/>
                </a:schemeClr>
              </a:gs>
              <a:gs pos="100000">
                <a:schemeClr val="accent1">
                  <a:alpha val="2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>
            <a:gsLst>
              <a:gs pos="0">
                <a:schemeClr val="accent3">
                  <a:alpha val="10000"/>
                </a:schemeClr>
              </a:gs>
              <a:gs pos="100000">
                <a:schemeClr val="accent3">
                  <a:alpha val="2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325249762941305E-2"/>
          <c:y val="9.3418259023354558E-2"/>
          <c:w val="0.72088704480802168"/>
          <c:h val="0.53242857381680797"/>
        </c:manualLayout>
      </c:layout>
      <c:lineChart>
        <c:grouping val="standard"/>
        <c:varyColors val="0"/>
        <c:ser>
          <c:idx val="0"/>
          <c:order val="0"/>
          <c:tx>
            <c:strRef>
              <c:f>BASE_APOIO!$L$3:$L$4</c:f>
              <c:strCache>
                <c:ptCount val="1"/>
                <c:pt idx="0">
                  <c:v>DESPESA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BASE_APOIO!$K$5:$K$14</c:f>
              <c:multiLvlStrCache>
                <c:ptCount val="9"/>
                <c:lvl>
                  <c:pt idx="0">
                    <c:v>Apr</c:v>
                  </c:pt>
                  <c:pt idx="1">
                    <c:v>May</c:v>
                  </c:pt>
                  <c:pt idx="2">
                    <c:v>Jun</c:v>
                  </c:pt>
                  <c:pt idx="3">
                    <c:v>Jul</c:v>
                  </c:pt>
                  <c:pt idx="4">
                    <c:v>Aug</c:v>
                  </c:pt>
                  <c:pt idx="5">
                    <c:v>Sep</c:v>
                  </c:pt>
                  <c:pt idx="6">
                    <c:v>Oct</c:v>
                  </c:pt>
                  <c:pt idx="7">
                    <c:v>Nov</c:v>
                  </c:pt>
                  <c:pt idx="8">
                    <c:v>Dec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BASE_APOIO!$L$5:$L$14</c:f>
              <c:numCache>
                <c:formatCode>#,##0.00</c:formatCode>
                <c:ptCount val="9"/>
                <c:pt idx="0">
                  <c:v>3498.3199999999997</c:v>
                </c:pt>
                <c:pt idx="1">
                  <c:v>6748.66</c:v>
                </c:pt>
                <c:pt idx="2">
                  <c:v>2600.2799999999997</c:v>
                </c:pt>
                <c:pt idx="3">
                  <c:v>2950.2799999999997</c:v>
                </c:pt>
                <c:pt idx="4">
                  <c:v>2480.2799999999997</c:v>
                </c:pt>
                <c:pt idx="5">
                  <c:v>2480.2799999999997</c:v>
                </c:pt>
                <c:pt idx="6">
                  <c:v>1309.48</c:v>
                </c:pt>
                <c:pt idx="7">
                  <c:v>1309.48</c:v>
                </c:pt>
                <c:pt idx="8">
                  <c:v>1309.48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6-4E31-9C7D-061A6D2ABF70}"/>
            </c:ext>
          </c:extLst>
        </c:ser>
        <c:ser>
          <c:idx val="1"/>
          <c:order val="1"/>
          <c:tx>
            <c:strRef>
              <c:f>BASE_APOIO!$M$3:$M$4</c:f>
              <c:strCache>
                <c:ptCount val="1"/>
                <c:pt idx="0">
                  <c:v>RECEITA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BASE_APOIO!$K$5:$K$14</c:f>
              <c:multiLvlStrCache>
                <c:ptCount val="9"/>
                <c:lvl>
                  <c:pt idx="0">
                    <c:v>Apr</c:v>
                  </c:pt>
                  <c:pt idx="1">
                    <c:v>May</c:v>
                  </c:pt>
                  <c:pt idx="2">
                    <c:v>Jun</c:v>
                  </c:pt>
                  <c:pt idx="3">
                    <c:v>Jul</c:v>
                  </c:pt>
                  <c:pt idx="4">
                    <c:v>Aug</c:v>
                  </c:pt>
                  <c:pt idx="5">
                    <c:v>Sep</c:v>
                  </c:pt>
                  <c:pt idx="6">
                    <c:v>Oct</c:v>
                  </c:pt>
                  <c:pt idx="7">
                    <c:v>Nov</c:v>
                  </c:pt>
                  <c:pt idx="8">
                    <c:v>Dec</c:v>
                  </c:pt>
                </c:lvl>
                <c:lvl>
                  <c:pt idx="0">
                    <c:v>2026</c:v>
                  </c:pt>
                </c:lvl>
              </c:multiLvlStrCache>
            </c:multiLvlStrRef>
          </c:cat>
          <c:val>
            <c:numRef>
              <c:f>BASE_APOIO!$M$5:$M$14</c:f>
              <c:numCache>
                <c:formatCode>#,##0.00</c:formatCode>
                <c:ptCount val="9"/>
                <c:pt idx="0">
                  <c:v>3661.57</c:v>
                </c:pt>
                <c:pt idx="1">
                  <c:v>8000</c:v>
                </c:pt>
                <c:pt idx="2">
                  <c:v>3000</c:v>
                </c:pt>
                <c:pt idx="3">
                  <c:v>3952</c:v>
                </c:pt>
                <c:pt idx="4">
                  <c:v>2927</c:v>
                </c:pt>
                <c:pt idx="5">
                  <c:v>2927</c:v>
                </c:pt>
                <c:pt idx="6">
                  <c:v>2927</c:v>
                </c:pt>
                <c:pt idx="7">
                  <c:v>2927</c:v>
                </c:pt>
                <c:pt idx="8">
                  <c:v>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3-459B-A073-2D43446A3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0860815"/>
        <c:axId val="1530857455"/>
      </c:lineChart>
      <c:catAx>
        <c:axId val="153086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8B8B8B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857455"/>
        <c:crosses val="autoZero"/>
        <c:auto val="1"/>
        <c:lblAlgn val="ctr"/>
        <c:lblOffset val="100"/>
        <c:noMultiLvlLbl val="0"/>
      </c:catAx>
      <c:valAx>
        <c:axId val="1530857455"/>
        <c:scaling>
          <c:orientation val="minMax"/>
        </c:scaling>
        <c:delete val="0"/>
        <c:axPos val="l"/>
        <c:numFmt formatCode="#,##0,\ 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8B8B8B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086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>
                  <a:lumMod val="9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Financ. Pessoal 6.0 - R00.xlsm]BASE_APOIO!Tipo Cartão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6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C96B9"/>
          </a:solidFill>
          <a:ln w="19050">
            <a:noFill/>
          </a:ln>
          <a:effectLst/>
        </c:spPr>
      </c:pivotFmt>
      <c:pivotFmt>
        <c:idx val="6"/>
        <c:spPr>
          <a:solidFill>
            <a:srgbClr val="57C6E7"/>
          </a:solidFill>
          <a:ln w="19050">
            <a:noFill/>
          </a:ln>
          <a:effectLst/>
        </c:spPr>
      </c:pivotFmt>
      <c:pivotFmt>
        <c:idx val="7"/>
        <c:spPr>
          <a:solidFill>
            <a:srgbClr val="2C96B9"/>
          </a:solidFill>
          <a:ln w="19050">
            <a:noFill/>
          </a:ln>
          <a:effectLst/>
        </c:spPr>
      </c:pivotFmt>
      <c:pivotFmt>
        <c:idx val="8"/>
        <c:spPr>
          <a:solidFill>
            <a:srgbClr val="2C96B9"/>
          </a:solidFill>
          <a:ln w="19050">
            <a:noFill/>
          </a:ln>
          <a:effectLst/>
        </c:spPr>
      </c:pivotFmt>
      <c:pivotFmt>
        <c:idx val="9"/>
        <c:spPr>
          <a:solidFill>
            <a:srgbClr val="57C6E7"/>
          </a:solidFill>
          <a:ln w="19050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574769424895606"/>
          <c:y val="0.12755015801631897"/>
          <c:w val="0.40350765223160279"/>
          <c:h val="0.72631383306832642"/>
        </c:manualLayout>
      </c:layout>
      <c:doughnutChart>
        <c:varyColors val="1"/>
        <c:ser>
          <c:idx val="0"/>
          <c:order val="0"/>
          <c:tx>
            <c:strRef>
              <c:f>BASE_APOIO!$W$3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2C96B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47-4AEC-99D2-979C079E30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47-4AEC-99D2-979C079E30C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BASE_APOIO!$V$4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BASE_APOIO!$W$4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5347-4AEC-99D2-979C079E30C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540344621677596"/>
          <c:y val="0.28742286688945295"/>
          <c:w val="0.39865319700181839"/>
          <c:h val="0.369395981797573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8B8B8B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PROJETOS!$H$12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rgbClr val="FFFFFF"/>
            </a:solidFill>
            <a:ln>
              <a:noFill/>
            </a:ln>
            <a:effectLst/>
          </c:spPr>
          <c:invertIfNegative val="0"/>
          <c:val>
            <c:numRef>
              <c:f>PROJETOS!$I$12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7-43CD-A8C8-B761EBF4B37E}"/>
            </c:ext>
          </c:extLst>
        </c:ser>
        <c:ser>
          <c:idx val="1"/>
          <c:order val="1"/>
          <c:tx>
            <c:strRef>
              <c:f>PROJETOS!$H$13</c:f>
              <c:strCache>
                <c:ptCount val="1"/>
                <c:pt idx="0">
                  <c:v>% faltante</c:v>
                </c:pt>
              </c:strCache>
            </c:strRef>
          </c:tx>
          <c:spPr>
            <a:solidFill>
              <a:schemeClr val="bg1">
                <a:alpha val="5000"/>
              </a:schemeClr>
            </a:solidFill>
            <a:ln>
              <a:noFill/>
            </a:ln>
            <a:effectLst/>
          </c:spPr>
          <c:invertIfNegative val="0"/>
          <c:val>
            <c:numRef>
              <c:f>PROJETOS!$I$13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87-43CD-A8C8-B761EBF4B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1430064"/>
        <c:axId val="411430544"/>
      </c:barChart>
      <c:catAx>
        <c:axId val="41143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411430544"/>
        <c:crosses val="autoZero"/>
        <c:auto val="1"/>
        <c:lblAlgn val="ctr"/>
        <c:lblOffset val="100"/>
        <c:noMultiLvlLbl val="0"/>
      </c:catAx>
      <c:valAx>
        <c:axId val="411430544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41143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PROJETOS!$H$12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PROJETOS!$J$12:$L$12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E0-4C59-9892-EDE9D4C0B6F9}"/>
            </c:ext>
          </c:extLst>
        </c:ser>
        <c:ser>
          <c:idx val="1"/>
          <c:order val="1"/>
          <c:tx>
            <c:strRef>
              <c:f>PROJETOS!$H$13</c:f>
              <c:strCache>
                <c:ptCount val="1"/>
                <c:pt idx="0">
                  <c:v>% faltante</c:v>
                </c:pt>
              </c:strCache>
            </c:strRef>
          </c:tx>
          <c:spPr>
            <a:solidFill>
              <a:schemeClr val="bg1">
                <a:alpha val="5000"/>
              </a:schemeClr>
            </a:solidFill>
            <a:ln>
              <a:noFill/>
            </a:ln>
            <a:effectLst/>
          </c:spPr>
          <c:invertIfNegative val="0"/>
          <c:val>
            <c:numRef>
              <c:f>PROJETOS!$J$13:$L$13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E0-4C59-9892-EDE9D4C0B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11430064"/>
        <c:axId val="411430544"/>
      </c:barChart>
      <c:catAx>
        <c:axId val="41143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411430544"/>
        <c:crosses val="autoZero"/>
        <c:auto val="1"/>
        <c:lblAlgn val="ctr"/>
        <c:lblOffset val="100"/>
        <c:noMultiLvlLbl val="0"/>
      </c:catAx>
      <c:valAx>
        <c:axId val="411430544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41143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PROJETOS!$H$12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PROJETOS!$M$12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9-48D2-A0A7-0F70457230AD}"/>
            </c:ext>
          </c:extLst>
        </c:ser>
        <c:ser>
          <c:idx val="1"/>
          <c:order val="1"/>
          <c:tx>
            <c:strRef>
              <c:f>PROJETOS!$H$13</c:f>
              <c:strCache>
                <c:ptCount val="1"/>
                <c:pt idx="0">
                  <c:v>% faltante</c:v>
                </c:pt>
              </c:strCache>
            </c:strRef>
          </c:tx>
          <c:spPr>
            <a:solidFill>
              <a:schemeClr val="bg1">
                <a:alpha val="5000"/>
              </a:schemeClr>
            </a:solidFill>
            <a:ln>
              <a:noFill/>
            </a:ln>
            <a:effectLst/>
          </c:spPr>
          <c:invertIfNegative val="0"/>
          <c:val>
            <c:numRef>
              <c:f>PROJETOS!$M$13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29-48D2-A0A7-0F7045723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1430064"/>
        <c:axId val="411430544"/>
      </c:barChart>
      <c:catAx>
        <c:axId val="411430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411430544"/>
        <c:crosses val="autoZero"/>
        <c:auto val="1"/>
        <c:lblAlgn val="ctr"/>
        <c:lblOffset val="100"/>
        <c:noMultiLvlLbl val="0"/>
      </c:catAx>
      <c:valAx>
        <c:axId val="411430544"/>
        <c:scaling>
          <c:orientation val="minMax"/>
          <c:max val="1"/>
          <c:min val="0"/>
        </c:scaling>
        <c:delete val="1"/>
        <c:axPos val="l"/>
        <c:numFmt formatCode="0%" sourceLinked="1"/>
        <c:majorTickMark val="none"/>
        <c:minorTickMark val="none"/>
        <c:tickLblPos val="nextTo"/>
        <c:crossAx val="41143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96E-46D3-BDEA-2083D83ABB7B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96E-46D3-BDEA-2083D83ABB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BASE_APOIO!$AI$3:$AI$4</c:f>
              <c:strCache>
                <c:ptCount val="2"/>
                <c:pt idx="0">
                  <c:v>Ativo Financeiro</c:v>
                </c:pt>
                <c:pt idx="1">
                  <c:v>Ativo Imo</c:v>
                </c:pt>
              </c:strCache>
            </c:strRef>
          </c:cat>
          <c:val>
            <c:numRef>
              <c:f>BASE_APOIO!$AJ$3:$AJ$4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6E-46D3-BDEA-2083D83AB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98-4464-B52A-E6CEA6DB82D7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798-4464-B52A-E6CEA6DB82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BASE_APOIO!$AI$5:$AI$6</c:f>
              <c:strCache>
                <c:ptCount val="2"/>
                <c:pt idx="0">
                  <c:v>Passivo Financeiro</c:v>
                </c:pt>
                <c:pt idx="1">
                  <c:v>Passivo Imob</c:v>
                </c:pt>
              </c:strCache>
            </c:strRef>
          </c:cat>
          <c:val>
            <c:numRef>
              <c:f>BASE_APOIO!$AJ$5:$AJ$6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8-4464-B52A-E6CEA6DB8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87922705314007E-2"/>
          <c:y val="0.18601446376904682"/>
          <c:w val="0.86502415458937199"/>
          <c:h val="0.418123797483876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76C-4E96-B37E-0BFAC3D67E7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76C-4E96-B37E-0BFAC3D67E7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76C-4E96-B37E-0BFAC3D67E76}"/>
              </c:ext>
            </c:extLst>
          </c:dPt>
          <c:dLbls>
            <c:numFmt formatCode="#,##0,\ &quot; mil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BASE_APOIO!$AI$7:$AI$9</c:f>
              <c:strCache>
                <c:ptCount val="3"/>
                <c:pt idx="0">
                  <c:v>Ativo</c:v>
                </c:pt>
                <c:pt idx="1">
                  <c:v>Passivo</c:v>
                </c:pt>
                <c:pt idx="2">
                  <c:v>Patr. Líq.</c:v>
                </c:pt>
              </c:strCache>
            </c:strRef>
          </c:cat>
          <c:val>
            <c:numRef>
              <c:f>BASE_APOIO!$AJ$7:$AJ$9</c:f>
              <c:numCache>
                <c:formatCode>#,##0.00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C-4E96-B37E-0BFAC3D67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7"/>
        <c:axId val="391650976"/>
        <c:axId val="391639936"/>
      </c:barChart>
      <c:catAx>
        <c:axId val="39165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1639936"/>
        <c:crosses val="autoZero"/>
        <c:auto val="1"/>
        <c:lblAlgn val="ctr"/>
        <c:lblOffset val="100"/>
        <c:noMultiLvlLbl val="0"/>
      </c:catAx>
      <c:valAx>
        <c:axId val="391639936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39165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Financ. Pessoal 6.0 - R00.xlsm]BASE_APOIO!Despesas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FFFF">
              <a:alpha val="5000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  <a:alpha val="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2516314760418497"/>
          <c:y val="4.7061062431989743E-2"/>
          <c:w val="0.60818784414504701"/>
          <c:h val="0.8571914794639531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BASE_APOIO!$G$4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BASE_APOIO!$F$5:$F$12</c:f>
              <c:strCache>
                <c:ptCount val="7"/>
                <c:pt idx="0">
                  <c:v>Saúde</c:v>
                </c:pt>
                <c:pt idx="1">
                  <c:v>Comunicação</c:v>
                </c:pt>
                <c:pt idx="2">
                  <c:v>Pessoais</c:v>
                </c:pt>
                <c:pt idx="3">
                  <c:v>Transporte</c:v>
                </c:pt>
                <c:pt idx="4">
                  <c:v>Moradia</c:v>
                </c:pt>
                <c:pt idx="5">
                  <c:v>Lazer</c:v>
                </c:pt>
                <c:pt idx="6">
                  <c:v>Empréstimo</c:v>
                </c:pt>
              </c:strCache>
            </c:strRef>
          </c:cat>
          <c:val>
            <c:numRef>
              <c:f>BASE_APOIO!$G$5:$G$12</c:f>
              <c:numCache>
                <c:formatCode>#,##0.00</c:formatCode>
                <c:ptCount val="7"/>
                <c:pt idx="0">
                  <c:v>60</c:v>
                </c:pt>
                <c:pt idx="1">
                  <c:v>125.9</c:v>
                </c:pt>
                <c:pt idx="2">
                  <c:v>137</c:v>
                </c:pt>
                <c:pt idx="3">
                  <c:v>150</c:v>
                </c:pt>
                <c:pt idx="4">
                  <c:v>250</c:v>
                </c:pt>
                <c:pt idx="5">
                  <c:v>897.69999999999993</c:v>
                </c:pt>
                <c:pt idx="6">
                  <c:v>1329.68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F-43E4-A76F-24473242A567}"/>
            </c:ext>
          </c:extLst>
        </c:ser>
        <c:ser>
          <c:idx val="1"/>
          <c:order val="1"/>
          <c:tx>
            <c:strRef>
              <c:f>BASE_APOIO!$H$4</c:f>
              <c:strCache>
                <c:ptCount val="1"/>
                <c:pt idx="0">
                  <c:v>Soma de DifMeta</c:v>
                </c:pt>
              </c:strCache>
            </c:strRef>
          </c:tx>
          <c:spPr>
            <a:solidFill>
              <a:srgbClr val="FFFFFF">
                <a:alpha val="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  <a:alpha val="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BASE_APOIO!$F$5:$F$12</c:f>
              <c:strCache>
                <c:ptCount val="7"/>
                <c:pt idx="0">
                  <c:v>Saúde</c:v>
                </c:pt>
                <c:pt idx="1">
                  <c:v>Comunicação</c:v>
                </c:pt>
                <c:pt idx="2">
                  <c:v>Pessoais</c:v>
                </c:pt>
                <c:pt idx="3">
                  <c:v>Transporte</c:v>
                </c:pt>
                <c:pt idx="4">
                  <c:v>Moradia</c:v>
                </c:pt>
                <c:pt idx="5">
                  <c:v>Lazer</c:v>
                </c:pt>
                <c:pt idx="6">
                  <c:v>Empréstimo</c:v>
                </c:pt>
              </c:strCache>
            </c:strRef>
          </c:cat>
          <c:val>
            <c:numRef>
              <c:f>BASE_APOIO!$H$5:$H$12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35-4DFE-BA66-8EB8CFD3B8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768559424"/>
        <c:axId val="768557984"/>
      </c:barChart>
      <c:catAx>
        <c:axId val="768559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6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557984"/>
        <c:crosses val="autoZero"/>
        <c:auto val="1"/>
        <c:lblAlgn val="ctr"/>
        <c:lblOffset val="100"/>
        <c:noMultiLvlLbl val="0"/>
      </c:catAx>
      <c:valAx>
        <c:axId val="7685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FFFFFF">
                  <a:alpha val="5000"/>
                </a:srgbClr>
              </a:solidFill>
              <a:round/>
            </a:ln>
            <a:effectLst/>
          </c:spPr>
        </c:majorGridlines>
        <c:numFmt formatCode="#,##0,\ 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855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ANCAMENTO!B4"/><Relationship Id="rId13" Type="http://schemas.openxmlformats.org/officeDocument/2006/relationships/chart" Target="../charts/chart3.xml"/><Relationship Id="rId18" Type="http://schemas.openxmlformats.org/officeDocument/2006/relationships/chart" Target="../charts/chart8.xml"/><Relationship Id="rId3" Type="http://schemas.openxmlformats.org/officeDocument/2006/relationships/chart" Target="../charts/chart1.xml"/><Relationship Id="rId21" Type="http://schemas.openxmlformats.org/officeDocument/2006/relationships/chart" Target="../charts/chart11.xml"/><Relationship Id="rId7" Type="http://schemas.openxmlformats.org/officeDocument/2006/relationships/hyperlink" Target="#PATRIMONIO!B2"/><Relationship Id="rId12" Type="http://schemas.openxmlformats.org/officeDocument/2006/relationships/chart" Target="../charts/chart2.xml"/><Relationship Id="rId17" Type="http://schemas.openxmlformats.org/officeDocument/2006/relationships/chart" Target="../charts/chart7.xml"/><Relationship Id="rId2" Type="http://schemas.openxmlformats.org/officeDocument/2006/relationships/image" Target="../media/image2.jpeg"/><Relationship Id="rId16" Type="http://schemas.openxmlformats.org/officeDocument/2006/relationships/chart" Target="../charts/chart6.xml"/><Relationship Id="rId20" Type="http://schemas.openxmlformats.org/officeDocument/2006/relationships/chart" Target="../charts/chart10.xml"/><Relationship Id="rId1" Type="http://schemas.openxmlformats.org/officeDocument/2006/relationships/image" Target="../media/image1.jpeg"/><Relationship Id="rId6" Type="http://schemas.openxmlformats.org/officeDocument/2006/relationships/hyperlink" Target="#PROJETOS!B2"/><Relationship Id="rId11" Type="http://schemas.openxmlformats.org/officeDocument/2006/relationships/hyperlink" Target="https://docs.google.com/document/d/1MRLcLT74yJw4XcbX39lr9oRxlgdtpZU-hgK__fwhp10/edit?usp=sharing" TargetMode="External"/><Relationship Id="rId5" Type="http://schemas.openxmlformats.org/officeDocument/2006/relationships/hyperlink" Target="#REGISTRO!B2"/><Relationship Id="rId15" Type="http://schemas.openxmlformats.org/officeDocument/2006/relationships/chart" Target="../charts/chart5.xml"/><Relationship Id="rId10" Type="http://schemas.openxmlformats.org/officeDocument/2006/relationships/hyperlink" Target="#DASHBOARD!A2"/><Relationship Id="rId19" Type="http://schemas.openxmlformats.org/officeDocument/2006/relationships/chart" Target="../charts/chart9.xml"/><Relationship Id="rId4" Type="http://schemas.openxmlformats.org/officeDocument/2006/relationships/hyperlink" Target="#CONFIGURACAO!C2"/><Relationship Id="rId9" Type="http://schemas.openxmlformats.org/officeDocument/2006/relationships/hyperlink" Target="#FLUXO!C7"/><Relationship Id="rId14" Type="http://schemas.openxmlformats.org/officeDocument/2006/relationships/chart" Target="../charts/chart4.xml"/><Relationship Id="rId22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2"/><Relationship Id="rId3" Type="http://schemas.openxmlformats.org/officeDocument/2006/relationships/hyperlink" Target="#REGISTRO!B2"/><Relationship Id="rId7" Type="http://schemas.openxmlformats.org/officeDocument/2006/relationships/hyperlink" Target="#FLUXO!C7"/><Relationship Id="rId2" Type="http://schemas.openxmlformats.org/officeDocument/2006/relationships/hyperlink" Target="#CONFIGURACAO!C2"/><Relationship Id="rId1" Type="http://schemas.openxmlformats.org/officeDocument/2006/relationships/image" Target="../media/image5.jpeg"/><Relationship Id="rId6" Type="http://schemas.openxmlformats.org/officeDocument/2006/relationships/hyperlink" Target="#LANCAMENTO!B4"/><Relationship Id="rId5" Type="http://schemas.openxmlformats.org/officeDocument/2006/relationships/hyperlink" Target="#PATRIMONIO!B2"/><Relationship Id="rId4" Type="http://schemas.openxmlformats.org/officeDocument/2006/relationships/hyperlink" Target="#PROJETOS!B2"/><Relationship Id="rId9" Type="http://schemas.openxmlformats.org/officeDocument/2006/relationships/hyperlink" Target="https://docs.google.com/document/d/1MRLcLT74yJw4XcbX39lr9oRxlgdtpZU-hgK__fwhp10/edit?usp=sharing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image" Target="../media/image18.svg"/><Relationship Id="rId18" Type="http://schemas.openxmlformats.org/officeDocument/2006/relationships/hyperlink" Target="#LANCAMENTO!B4"/><Relationship Id="rId3" Type="http://schemas.openxmlformats.org/officeDocument/2006/relationships/image" Target="../media/image8.svg"/><Relationship Id="rId21" Type="http://schemas.openxmlformats.org/officeDocument/2006/relationships/hyperlink" Target="https://docs.google.com/document/d/1MRLcLT74yJw4XcbX39lr9oRxlgdtpZU-hgK__fwhp10/edit?usp=sharing" TargetMode="External"/><Relationship Id="rId7" Type="http://schemas.openxmlformats.org/officeDocument/2006/relationships/image" Target="../media/image12.svg"/><Relationship Id="rId12" Type="http://schemas.openxmlformats.org/officeDocument/2006/relationships/image" Target="../media/image17.png"/><Relationship Id="rId17" Type="http://schemas.openxmlformats.org/officeDocument/2006/relationships/hyperlink" Target="#PATRIMONIO!B2"/><Relationship Id="rId2" Type="http://schemas.openxmlformats.org/officeDocument/2006/relationships/image" Target="../media/image7.png"/><Relationship Id="rId16" Type="http://schemas.openxmlformats.org/officeDocument/2006/relationships/hyperlink" Target="#PROJETOS!B2"/><Relationship Id="rId20" Type="http://schemas.openxmlformats.org/officeDocument/2006/relationships/hyperlink" Target="#DASHBOARD!A2"/><Relationship Id="rId1" Type="http://schemas.openxmlformats.org/officeDocument/2006/relationships/image" Target="../media/image6.jpeg"/><Relationship Id="rId6" Type="http://schemas.openxmlformats.org/officeDocument/2006/relationships/image" Target="../media/image11.png"/><Relationship Id="rId11" Type="http://schemas.openxmlformats.org/officeDocument/2006/relationships/image" Target="../media/image16.svg"/><Relationship Id="rId5" Type="http://schemas.openxmlformats.org/officeDocument/2006/relationships/image" Target="../media/image10.svg"/><Relationship Id="rId15" Type="http://schemas.openxmlformats.org/officeDocument/2006/relationships/hyperlink" Target="#REGISTRO!B2"/><Relationship Id="rId10" Type="http://schemas.openxmlformats.org/officeDocument/2006/relationships/image" Target="../media/image15.png"/><Relationship Id="rId19" Type="http://schemas.openxmlformats.org/officeDocument/2006/relationships/hyperlink" Target="#FLUXO!C7"/><Relationship Id="rId4" Type="http://schemas.openxmlformats.org/officeDocument/2006/relationships/image" Target="../media/image9.png"/><Relationship Id="rId9" Type="http://schemas.openxmlformats.org/officeDocument/2006/relationships/image" Target="../media/image14.svg"/><Relationship Id="rId14" Type="http://schemas.openxmlformats.org/officeDocument/2006/relationships/hyperlink" Target="#CONFIGURACAO!C2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2"/><Relationship Id="rId3" Type="http://schemas.openxmlformats.org/officeDocument/2006/relationships/hyperlink" Target="#REGISTRO!B2"/><Relationship Id="rId7" Type="http://schemas.openxmlformats.org/officeDocument/2006/relationships/hyperlink" Target="#FLUXO!C7"/><Relationship Id="rId2" Type="http://schemas.openxmlformats.org/officeDocument/2006/relationships/hyperlink" Target="#CONFIGURACAO!C2"/><Relationship Id="rId1" Type="http://schemas.openxmlformats.org/officeDocument/2006/relationships/image" Target="../media/image19.jpeg"/><Relationship Id="rId6" Type="http://schemas.openxmlformats.org/officeDocument/2006/relationships/hyperlink" Target="#LANCAMENTO!B4"/><Relationship Id="rId5" Type="http://schemas.openxmlformats.org/officeDocument/2006/relationships/hyperlink" Target="#PATRIMONIO!B2"/><Relationship Id="rId4" Type="http://schemas.openxmlformats.org/officeDocument/2006/relationships/hyperlink" Target="#PROJETOS!B2"/><Relationship Id="rId9" Type="http://schemas.openxmlformats.org/officeDocument/2006/relationships/hyperlink" Target="https://docs.google.com/document/d/1MRLcLT74yJw4XcbX39lr9oRxlgdtpZU-hgK__fwhp10/edit?usp=sharing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2"/><Relationship Id="rId3" Type="http://schemas.openxmlformats.org/officeDocument/2006/relationships/hyperlink" Target="#REGISTRO!B2"/><Relationship Id="rId7" Type="http://schemas.openxmlformats.org/officeDocument/2006/relationships/hyperlink" Target="#FLUXO!C7"/><Relationship Id="rId2" Type="http://schemas.openxmlformats.org/officeDocument/2006/relationships/hyperlink" Target="#CONFIGURACAO!C2"/><Relationship Id="rId1" Type="http://schemas.openxmlformats.org/officeDocument/2006/relationships/image" Target="../media/image20.jpg"/><Relationship Id="rId6" Type="http://schemas.openxmlformats.org/officeDocument/2006/relationships/hyperlink" Target="#LANCAMENTO!B4"/><Relationship Id="rId5" Type="http://schemas.openxmlformats.org/officeDocument/2006/relationships/hyperlink" Target="#PATRIMONIO!B2"/><Relationship Id="rId4" Type="http://schemas.openxmlformats.org/officeDocument/2006/relationships/hyperlink" Target="#PROJETOS!B2"/><Relationship Id="rId9" Type="http://schemas.openxmlformats.org/officeDocument/2006/relationships/hyperlink" Target="https://docs.google.com/document/d/1MRLcLT74yJw4XcbX39lr9oRxlgdtpZU-hgK__fwhp10/edit?usp=sharing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2"/><Relationship Id="rId3" Type="http://schemas.openxmlformats.org/officeDocument/2006/relationships/hyperlink" Target="#REGISTRO!B2"/><Relationship Id="rId7" Type="http://schemas.openxmlformats.org/officeDocument/2006/relationships/hyperlink" Target="#FLUXO!C7"/><Relationship Id="rId2" Type="http://schemas.openxmlformats.org/officeDocument/2006/relationships/hyperlink" Target="#CONFIGURACAO!C2"/><Relationship Id="rId1" Type="http://schemas.openxmlformats.org/officeDocument/2006/relationships/image" Target="../media/image21.jpg"/><Relationship Id="rId6" Type="http://schemas.openxmlformats.org/officeDocument/2006/relationships/hyperlink" Target="#LANCAMENTO!B4"/><Relationship Id="rId5" Type="http://schemas.openxmlformats.org/officeDocument/2006/relationships/hyperlink" Target="#PATRIMONIO!B2"/><Relationship Id="rId4" Type="http://schemas.openxmlformats.org/officeDocument/2006/relationships/hyperlink" Target="#PROJETOS!B2"/><Relationship Id="rId9" Type="http://schemas.openxmlformats.org/officeDocument/2006/relationships/hyperlink" Target="https://docs.google.com/document/d/1MRLcLT74yJw4XcbX39lr9oRxlgdtpZU-hgK__fwhp10/edit?usp=sharing" TargetMode="Externa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LANCAMENTO!B4"/><Relationship Id="rId3" Type="http://schemas.openxmlformats.org/officeDocument/2006/relationships/image" Target="../media/image24.svg"/><Relationship Id="rId7" Type="http://schemas.openxmlformats.org/officeDocument/2006/relationships/hyperlink" Target="#PATRIMONIO!B2"/><Relationship Id="rId2" Type="http://schemas.openxmlformats.org/officeDocument/2006/relationships/image" Target="../media/image23.png"/><Relationship Id="rId1" Type="http://schemas.openxmlformats.org/officeDocument/2006/relationships/image" Target="../media/image22.jpeg"/><Relationship Id="rId6" Type="http://schemas.openxmlformats.org/officeDocument/2006/relationships/hyperlink" Target="#PROJETOS!B2"/><Relationship Id="rId11" Type="http://schemas.openxmlformats.org/officeDocument/2006/relationships/hyperlink" Target="https://docs.google.com/document/d/1MRLcLT74yJw4XcbX39lr9oRxlgdtpZU-hgK__fwhp10/edit?usp=sharing" TargetMode="External"/><Relationship Id="rId5" Type="http://schemas.openxmlformats.org/officeDocument/2006/relationships/hyperlink" Target="#REGISTRO!B2"/><Relationship Id="rId10" Type="http://schemas.openxmlformats.org/officeDocument/2006/relationships/hyperlink" Target="#DASHBOARD!A2"/><Relationship Id="rId4" Type="http://schemas.openxmlformats.org/officeDocument/2006/relationships/hyperlink" Target="#CONFIGURACAO!C2"/><Relationship Id="rId9" Type="http://schemas.openxmlformats.org/officeDocument/2006/relationships/hyperlink" Target="#FLUXO!C7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166326</xdr:colOff>
      <xdr:row>1</xdr:row>
      <xdr:rowOff>0</xdr:rowOff>
    </xdr:to>
    <xdr:pic>
      <xdr:nvPicPr>
        <xdr:cNvPr id="3" name="Dash">
          <a:extLst>
            <a:ext uri="{FF2B5EF4-FFF2-40B4-BE49-F238E27FC236}">
              <a16:creationId xmlns:a16="http://schemas.microsoft.com/office/drawing/2014/main" id="{2BCD03C4-29D4-07D8-8C7A-A64379371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58326" cy="58102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1734</xdr:rowOff>
    </xdr:from>
    <xdr:to>
      <xdr:col>20</xdr:col>
      <xdr:colOff>201732</xdr:colOff>
      <xdr:row>34</xdr:row>
      <xdr:rowOff>108219</xdr:rowOff>
    </xdr:to>
    <xdr:pic>
      <xdr:nvPicPr>
        <xdr:cNvPr id="5" name="Dash_Corpo">
          <a:extLst>
            <a:ext uri="{FF2B5EF4-FFF2-40B4-BE49-F238E27FC236}">
              <a16:creationId xmlns:a16="http://schemas.microsoft.com/office/drawing/2014/main" id="{B7DAA6C4-D3E1-CCC5-E66B-35E0B66BB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2759"/>
          <a:ext cx="12393732" cy="6392985"/>
        </a:xfrm>
        <a:prstGeom prst="rect">
          <a:avLst/>
        </a:prstGeom>
      </xdr:spPr>
    </xdr:pic>
    <xdr:clientData/>
  </xdr:twoCellAnchor>
  <xdr:twoCellAnchor editAs="absolute">
    <xdr:from>
      <xdr:col>9</xdr:col>
      <xdr:colOff>466725</xdr:colOff>
      <xdr:row>2</xdr:row>
      <xdr:rowOff>66675</xdr:rowOff>
    </xdr:from>
    <xdr:to>
      <xdr:col>12</xdr:col>
      <xdr:colOff>19050</xdr:colOff>
      <xdr:row>3</xdr:row>
      <xdr:rowOff>180975</xdr:rowOff>
    </xdr:to>
    <xdr:sp macro="" textlink="Receita">
      <xdr:nvSpPr>
        <xdr:cNvPr id="2" name="CaixaDeTexto 1">
          <a:extLst>
            <a:ext uri="{FF2B5EF4-FFF2-40B4-BE49-F238E27FC236}">
              <a16:creationId xmlns:a16="http://schemas.microsoft.com/office/drawing/2014/main" id="{9CC00555-4B73-1438-8F8B-C24FDD06DD6E}"/>
            </a:ext>
          </a:extLst>
        </xdr:cNvPr>
        <xdr:cNvSpPr txBox="1"/>
      </xdr:nvSpPr>
      <xdr:spPr>
        <a:xfrm>
          <a:off x="5953125" y="838200"/>
          <a:ext cx="1381125" cy="304800"/>
        </a:xfrm>
        <a:prstGeom prst="rect">
          <a:avLst/>
        </a:prstGeom>
        <a:solidFill>
          <a:srgbClr val="000000">
            <a:alpha val="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4DA4D44-9624-4BFD-9152-8A4FE70DF1F7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3,952.00</a:t>
          </a:fld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190501</xdr:colOff>
      <xdr:row>2</xdr:row>
      <xdr:rowOff>85725</xdr:rowOff>
    </xdr:from>
    <xdr:to>
      <xdr:col>15</xdr:col>
      <xdr:colOff>381001</xdr:colOff>
      <xdr:row>4</xdr:row>
      <xdr:rowOff>9525</xdr:rowOff>
    </xdr:to>
    <xdr:sp macro="" textlink="Despesa">
      <xdr:nvSpPr>
        <xdr:cNvPr id="4" name="CaixaDeTexto 3">
          <a:extLst>
            <a:ext uri="{FF2B5EF4-FFF2-40B4-BE49-F238E27FC236}">
              <a16:creationId xmlns:a16="http://schemas.microsoft.com/office/drawing/2014/main" id="{0A38BFDD-F911-4D7C-1AF5-0BE47B7F7D18}"/>
            </a:ext>
          </a:extLst>
        </xdr:cNvPr>
        <xdr:cNvSpPr txBox="1"/>
      </xdr:nvSpPr>
      <xdr:spPr>
        <a:xfrm>
          <a:off x="8115301" y="857250"/>
          <a:ext cx="1409700" cy="304800"/>
        </a:xfrm>
        <a:prstGeom prst="rect">
          <a:avLst/>
        </a:prstGeom>
        <a:solidFill>
          <a:srgbClr val="000000">
            <a:alpha val="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1197209-8C00-460F-9167-5FC31AEB4B44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2,950.28</a:t>
          </a:fld>
          <a:endParaRPr lang="pt-BR" sz="3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17</xdr:col>
      <xdr:colOff>47626</xdr:colOff>
      <xdr:row>2</xdr:row>
      <xdr:rowOff>85725</xdr:rowOff>
    </xdr:from>
    <xdr:to>
      <xdr:col>18</xdr:col>
      <xdr:colOff>600076</xdr:colOff>
      <xdr:row>4</xdr:row>
      <xdr:rowOff>9525</xdr:rowOff>
    </xdr:to>
    <xdr:sp macro="" textlink="Saldo">
      <xdr:nvSpPr>
        <xdr:cNvPr id="6" name="CaixaDeTexto 5">
          <a:extLst>
            <a:ext uri="{FF2B5EF4-FFF2-40B4-BE49-F238E27FC236}">
              <a16:creationId xmlns:a16="http://schemas.microsoft.com/office/drawing/2014/main" id="{B8E25E87-A32C-15AC-13C0-6A0468127F74}"/>
            </a:ext>
          </a:extLst>
        </xdr:cNvPr>
        <xdr:cNvSpPr txBox="1"/>
      </xdr:nvSpPr>
      <xdr:spPr>
        <a:xfrm>
          <a:off x="10410826" y="857250"/>
          <a:ext cx="1162050" cy="304800"/>
        </a:xfrm>
        <a:prstGeom prst="rect">
          <a:avLst/>
        </a:prstGeom>
        <a:solidFill>
          <a:srgbClr val="000000">
            <a:alpha val="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1CFE09F-CC29-43EC-89B8-1311E647283C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/>
            <a:t>1,001.72</a:t>
          </a:fld>
          <a:endParaRPr lang="pt-BR" sz="72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381000</xdr:colOff>
      <xdr:row>6</xdr:row>
      <xdr:rowOff>0</xdr:rowOff>
    </xdr:from>
    <xdr:to>
      <xdr:col>3</xdr:col>
      <xdr:colOff>600075</xdr:colOff>
      <xdr:row>19</xdr:row>
      <xdr:rowOff>38100</xdr:rowOff>
    </xdr:to>
    <xdr:graphicFrame macro="">
      <xdr:nvGraphicFramePr>
        <xdr:cNvPr id="7" name="GrafReceita">
          <a:extLst>
            <a:ext uri="{FF2B5EF4-FFF2-40B4-BE49-F238E27FC236}">
              <a16:creationId xmlns:a16="http://schemas.microsoft.com/office/drawing/2014/main" id="{1E9889C8-C1DC-4A5A-A3C8-0317194206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10</xdr:col>
      <xdr:colOff>466725</xdr:colOff>
      <xdr:row>6</xdr:row>
      <xdr:rowOff>28575</xdr:rowOff>
    </xdr:from>
    <xdr:to>
      <xdr:col>12</xdr:col>
      <xdr:colOff>76200</xdr:colOff>
      <xdr:row>7</xdr:row>
      <xdr:rowOff>85725</xdr:rowOff>
    </xdr:to>
    <xdr:sp macro="" textlink="GastoCartao">
      <xdr:nvSpPr>
        <xdr:cNvPr id="8" name="CaixaDeTexto 7">
          <a:extLst>
            <a:ext uri="{FF2B5EF4-FFF2-40B4-BE49-F238E27FC236}">
              <a16:creationId xmlns:a16="http://schemas.microsoft.com/office/drawing/2014/main" id="{0CBBEE28-3631-40F3-4518-7540FBAEA01F}"/>
            </a:ext>
          </a:extLst>
        </xdr:cNvPr>
        <xdr:cNvSpPr txBox="1"/>
      </xdr:nvSpPr>
      <xdr:spPr>
        <a:xfrm>
          <a:off x="6562725" y="1562100"/>
          <a:ext cx="828675" cy="247650"/>
        </a:xfrm>
        <a:prstGeom prst="rect">
          <a:avLst/>
        </a:prstGeom>
        <a:solidFill>
          <a:srgbClr val="000000">
            <a:alpha val="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03A400F-14EF-4390-B933-AA3ABB0C8296}" type="TxLink">
            <a:rPr lang="en-US" sz="1100" b="1" i="0" u="none" strike="noStrike">
              <a:solidFill>
                <a:schemeClr val="accent5"/>
              </a:solidFill>
              <a:latin typeface="Calibri"/>
              <a:cs typeface="Calibri"/>
            </a:rPr>
            <a:pPr/>
            <a:t>0.00</a:t>
          </a:fld>
          <a:endParaRPr lang="pt-BR" sz="1800" b="1">
            <a:solidFill>
              <a:schemeClr val="accent5"/>
            </a:solidFill>
          </a:endParaRPr>
        </a:p>
      </xdr:txBody>
    </xdr:sp>
    <xdr:clientData/>
  </xdr:twoCellAnchor>
  <xdr:twoCellAnchor editAs="absolute">
    <xdr:from>
      <xdr:col>0</xdr:col>
      <xdr:colOff>421946</xdr:colOff>
      <xdr:row>1</xdr:row>
      <xdr:rowOff>47624</xdr:rowOff>
    </xdr:from>
    <xdr:to>
      <xdr:col>6</xdr:col>
      <xdr:colOff>555296</xdr:colOff>
      <xdr:row>4</xdr:row>
      <xdr:rowOff>152399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ÊS 1">
              <a:extLst>
                <a:ext uri="{FF2B5EF4-FFF2-40B4-BE49-F238E27FC236}">
                  <a16:creationId xmlns:a16="http://schemas.microsoft.com/office/drawing/2014/main" id="{925F041E-69CB-4826-9520-3981982D984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1946" y="628649"/>
              <a:ext cx="3790950" cy="676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6</xdr:col>
      <xdr:colOff>606117</xdr:colOff>
      <xdr:row>1</xdr:row>
      <xdr:rowOff>26620</xdr:rowOff>
    </xdr:from>
    <xdr:to>
      <xdr:col>8</xdr:col>
      <xdr:colOff>325989</xdr:colOff>
      <xdr:row>4</xdr:row>
      <xdr:rowOff>183549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NO 1">
              <a:extLst>
                <a:ext uri="{FF2B5EF4-FFF2-40B4-BE49-F238E27FC236}">
                  <a16:creationId xmlns:a16="http://schemas.microsoft.com/office/drawing/2014/main" id="{825823A6-E96C-4F0E-8DFB-F3A741EC69A2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63717" y="607645"/>
              <a:ext cx="939072" cy="7284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19050</xdr:colOff>
      <xdr:row>0</xdr:row>
      <xdr:rowOff>57150</xdr:rowOff>
    </xdr:from>
    <xdr:to>
      <xdr:col>6</xdr:col>
      <xdr:colOff>43815</xdr:colOff>
      <xdr:row>0</xdr:row>
      <xdr:rowOff>390525</xdr:rowOff>
    </xdr:to>
    <xdr:grpSp>
      <xdr:nvGrpSpPr>
        <xdr:cNvPr id="50" name="Links">
          <a:extLst>
            <a:ext uri="{FF2B5EF4-FFF2-40B4-BE49-F238E27FC236}">
              <a16:creationId xmlns:a16="http://schemas.microsoft.com/office/drawing/2014/main" id="{A507B43D-7870-7541-18E3-A59A2F8C7CC4}"/>
            </a:ext>
          </a:extLst>
        </xdr:cNvPr>
        <xdr:cNvGrpSpPr/>
      </xdr:nvGrpSpPr>
      <xdr:grpSpPr>
        <a:xfrm>
          <a:off x="643890" y="53340"/>
          <a:ext cx="3173730" cy="339090"/>
          <a:chOff x="628650" y="57150"/>
          <a:chExt cx="3072765" cy="333375"/>
        </a:xfrm>
      </xdr:grpSpPr>
      <xdr:sp macro="" textlink="">
        <xdr:nvSpPr>
          <xdr:cNvPr id="12" name="Configurações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0699924-7737-45F1-83DC-CD83262A1786}"/>
              </a:ext>
            </a:extLst>
          </xdr:cNvPr>
          <xdr:cNvSpPr/>
        </xdr:nvSpPr>
        <xdr:spPr>
          <a:xfrm>
            <a:off x="334899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gistros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48F67D9-00B5-4DD1-BAB7-71614DC904D7}"/>
              </a:ext>
            </a:extLst>
          </xdr:cNvPr>
          <xdr:cNvSpPr/>
        </xdr:nvSpPr>
        <xdr:spPr>
          <a:xfrm>
            <a:off x="2892425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Projetos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1220AB4-1A08-4BF5-8E6F-715A3CBA91CE}"/>
              </a:ext>
            </a:extLst>
          </xdr:cNvPr>
          <xdr:cNvSpPr/>
        </xdr:nvSpPr>
        <xdr:spPr>
          <a:xfrm>
            <a:off x="241681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Patrimôni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17B3245-61A9-4CCE-9418-C4530CB46792}"/>
              </a:ext>
            </a:extLst>
          </xdr:cNvPr>
          <xdr:cNvSpPr/>
        </xdr:nvSpPr>
        <xdr:spPr>
          <a:xfrm>
            <a:off x="196977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Lançamento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9FAE845-6FDC-4815-B75F-69DADB846FDA}"/>
              </a:ext>
            </a:extLst>
          </xdr:cNvPr>
          <xdr:cNvSpPr/>
        </xdr:nvSpPr>
        <xdr:spPr>
          <a:xfrm>
            <a:off x="152273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Fluxo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6D82EBC-13F9-4125-B4FB-9FB8E716B819}"/>
              </a:ext>
            </a:extLst>
          </xdr:cNvPr>
          <xdr:cNvSpPr/>
        </xdr:nvSpPr>
        <xdr:spPr>
          <a:xfrm>
            <a:off x="107569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Dash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27330E7-6E31-48A2-A653-4F53A9874DAE}"/>
              </a:ext>
            </a:extLst>
          </xdr:cNvPr>
          <xdr:cNvSpPr/>
        </xdr:nvSpPr>
        <xdr:spPr>
          <a:xfrm>
            <a:off x="62865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17</xdr:col>
      <xdr:colOff>57150</xdr:colOff>
      <xdr:row>0</xdr:row>
      <xdr:rowOff>142875</xdr:rowOff>
    </xdr:from>
    <xdr:to>
      <xdr:col>19</xdr:col>
      <xdr:colOff>160590</xdr:colOff>
      <xdr:row>0</xdr:row>
      <xdr:rowOff>419242</xdr:rowOff>
    </xdr:to>
    <xdr:grpSp>
      <xdr:nvGrpSpPr>
        <xdr:cNvPr id="53" name="Macros">
          <a:extLst>
            <a:ext uri="{FF2B5EF4-FFF2-40B4-BE49-F238E27FC236}">
              <a16:creationId xmlns:a16="http://schemas.microsoft.com/office/drawing/2014/main" id="{3F918CAB-393C-D742-B7D6-D02FFAB2515E}"/>
            </a:ext>
          </a:extLst>
        </xdr:cNvPr>
        <xdr:cNvGrpSpPr/>
      </xdr:nvGrpSpPr>
      <xdr:grpSpPr>
        <a:xfrm>
          <a:off x="10740390" y="140970"/>
          <a:ext cx="1366455" cy="278272"/>
          <a:chOff x="10424013" y="142875"/>
          <a:chExt cx="1319710" cy="276367"/>
        </a:xfrm>
      </xdr:grpSpPr>
      <xdr:sp macro="" textlink="">
        <xdr:nvSpPr>
          <xdr:cNvPr id="19" name="Manual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9967959F-D0AF-4C1F-9622-9C25315011A1}"/>
              </a:ext>
            </a:extLst>
          </xdr:cNvPr>
          <xdr:cNvSpPr/>
        </xdr:nvSpPr>
        <xdr:spPr>
          <a:xfrm>
            <a:off x="11479555" y="143345"/>
            <a:ext cx="264168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inimizar" textlink="">
        <xdr:nvSpPr>
          <xdr:cNvPr id="20" name="Minimizar">
            <a:extLst>
              <a:ext uri="{FF2B5EF4-FFF2-40B4-BE49-F238E27FC236}">
                <a16:creationId xmlns:a16="http://schemas.microsoft.com/office/drawing/2014/main" id="{4395397E-3796-45C4-A48A-5ECD64690A1A}"/>
              </a:ext>
            </a:extLst>
          </xdr:cNvPr>
          <xdr:cNvSpPr/>
        </xdr:nvSpPr>
        <xdr:spPr>
          <a:xfrm>
            <a:off x="11150756" y="143345"/>
            <a:ext cx="268014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ximizar" textlink="">
        <xdr:nvSpPr>
          <xdr:cNvPr id="21" name="Ampliar">
            <a:extLst>
              <a:ext uri="{FF2B5EF4-FFF2-40B4-BE49-F238E27FC236}">
                <a16:creationId xmlns:a16="http://schemas.microsoft.com/office/drawing/2014/main" id="{1A8D0311-DEAB-42A6-AAA9-381496BEAA8E}"/>
              </a:ext>
            </a:extLst>
          </xdr:cNvPr>
          <xdr:cNvSpPr/>
        </xdr:nvSpPr>
        <xdr:spPr>
          <a:xfrm>
            <a:off x="10788992" y="146938"/>
            <a:ext cx="272405" cy="272304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22" name="Atualizar">
            <a:extLst>
              <a:ext uri="{FF2B5EF4-FFF2-40B4-BE49-F238E27FC236}">
                <a16:creationId xmlns:a16="http://schemas.microsoft.com/office/drawing/2014/main" id="{8CC6E5F3-2191-4587-9E77-F19F237D4CDE}"/>
              </a:ext>
            </a:extLst>
          </xdr:cNvPr>
          <xdr:cNvSpPr/>
        </xdr:nvSpPr>
        <xdr:spPr>
          <a:xfrm>
            <a:off x="10424013" y="142875"/>
            <a:ext cx="285145" cy="27636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17</xdr:col>
      <xdr:colOff>133350</xdr:colOff>
      <xdr:row>7</xdr:row>
      <xdr:rowOff>28574</xdr:rowOff>
    </xdr:from>
    <xdr:to>
      <xdr:col>19</xdr:col>
      <xdr:colOff>161925</xdr:colOff>
      <xdr:row>11</xdr:row>
      <xdr:rowOff>139211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Status 1">
              <a:extLst>
                <a:ext uri="{FF2B5EF4-FFF2-40B4-BE49-F238E27FC236}">
                  <a16:creationId xmlns:a16="http://schemas.microsoft.com/office/drawing/2014/main" id="{9174786B-E196-4748-B98C-6941EBBEDB07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96550" y="1752600"/>
              <a:ext cx="1247775" cy="867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13</xdr:col>
      <xdr:colOff>38099</xdr:colOff>
      <xdr:row>9</xdr:row>
      <xdr:rowOff>132522</xdr:rowOff>
    </xdr:from>
    <xdr:to>
      <xdr:col>16</xdr:col>
      <xdr:colOff>466725</xdr:colOff>
      <xdr:row>19</xdr:row>
      <xdr:rowOff>38100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71C0221A-96E5-4381-AA0B-84E7211D71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0</xdr:col>
      <xdr:colOff>416037</xdr:colOff>
      <xdr:row>20</xdr:row>
      <xdr:rowOff>164649</xdr:rowOff>
    </xdr:from>
    <xdr:to>
      <xdr:col>8</xdr:col>
      <xdr:colOff>311262</xdr:colOff>
      <xdr:row>28</xdr:row>
      <xdr:rowOff>82326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41B9C70-D205-4A73-9C8E-5571412F5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8</xdr:col>
      <xdr:colOff>563217</xdr:colOff>
      <xdr:row>12</xdr:row>
      <xdr:rowOff>8282</xdr:rowOff>
    </xdr:from>
    <xdr:to>
      <xdr:col>12</xdr:col>
      <xdr:colOff>571500</xdr:colOff>
      <xdr:row>19</xdr:row>
      <xdr:rowOff>41413</xdr:rowOff>
    </xdr:to>
    <xdr:graphicFrame macro="">
      <xdr:nvGraphicFramePr>
        <xdr:cNvPr id="27" name="GrafCartao">
          <a:extLst>
            <a:ext uri="{FF2B5EF4-FFF2-40B4-BE49-F238E27FC236}">
              <a16:creationId xmlns:a16="http://schemas.microsoft.com/office/drawing/2014/main" id="{054E25CD-1480-4F19-BC46-5B8D50D81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14</xdr:col>
      <xdr:colOff>281608</xdr:colOff>
      <xdr:row>6</xdr:row>
      <xdr:rowOff>16566</xdr:rowOff>
    </xdr:from>
    <xdr:to>
      <xdr:col>16</xdr:col>
      <xdr:colOff>422432</xdr:colOff>
      <xdr:row>9</xdr:row>
      <xdr:rowOff>149088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INST SIMPLES 1">
              <a:extLst>
                <a:ext uri="{FF2B5EF4-FFF2-40B4-BE49-F238E27FC236}">
                  <a16:creationId xmlns:a16="http://schemas.microsoft.com/office/drawing/2014/main" id="{758F1784-F6C5-4C4D-AE6B-F2F96664FF4E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ST SIMPL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16008" y="1550091"/>
              <a:ext cx="1360024" cy="7040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17</xdr:col>
      <xdr:colOff>409575</xdr:colOff>
      <xdr:row>21</xdr:row>
      <xdr:rowOff>123825</xdr:rowOff>
    </xdr:from>
    <xdr:to>
      <xdr:col>19</xdr:col>
      <xdr:colOff>38100</xdr:colOff>
      <xdr:row>23</xdr:row>
      <xdr:rowOff>47625</xdr:rowOff>
    </xdr:to>
    <xdr:sp macro="" textlink="SaldoTotal">
      <xdr:nvSpPr>
        <xdr:cNvPr id="33" name="CaixaDeTexto 32">
          <a:extLst>
            <a:ext uri="{FF2B5EF4-FFF2-40B4-BE49-F238E27FC236}">
              <a16:creationId xmlns:a16="http://schemas.microsoft.com/office/drawing/2014/main" id="{DCD097CA-C908-3BCC-4B8E-6BCFDBB2CA61}"/>
            </a:ext>
          </a:extLst>
        </xdr:cNvPr>
        <xdr:cNvSpPr txBox="1"/>
      </xdr:nvSpPr>
      <xdr:spPr>
        <a:xfrm>
          <a:off x="10772775" y="4514850"/>
          <a:ext cx="847725" cy="304800"/>
        </a:xfrm>
        <a:prstGeom prst="rect">
          <a:avLst/>
        </a:prstGeom>
        <a:solidFill>
          <a:srgbClr val="000000">
            <a:alpha val="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9CD900C-D014-4D7A-95D8-719670C0F46E}" type="TxLink">
            <a:rPr lang="en-US" sz="1100" b="1" i="0" u="none" strike="noStrike">
              <a:solidFill>
                <a:schemeClr val="accent5"/>
              </a:solidFill>
              <a:latin typeface="Calibri"/>
              <a:cs typeface="Calibri"/>
            </a:rPr>
            <a:pPr/>
            <a:t>0.00</a:t>
          </a:fld>
          <a:endParaRPr lang="pt-BR" sz="3200" b="1">
            <a:solidFill>
              <a:schemeClr val="accent5"/>
            </a:solidFill>
          </a:endParaRPr>
        </a:p>
      </xdr:txBody>
    </xdr:sp>
    <xdr:clientData/>
  </xdr:twoCellAnchor>
  <xdr:twoCellAnchor editAs="absolute">
    <xdr:from>
      <xdr:col>8</xdr:col>
      <xdr:colOff>500063</xdr:colOff>
      <xdr:row>22</xdr:row>
      <xdr:rowOff>44614</xdr:rowOff>
    </xdr:from>
    <xdr:to>
      <xdr:col>9</xdr:col>
      <xdr:colOff>600938</xdr:colOff>
      <xdr:row>27</xdr:row>
      <xdr:rowOff>64114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CD4284D2-6943-4B96-85B6-DB0C66409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9</xdr:col>
      <xdr:colOff>257270</xdr:colOff>
      <xdr:row>22</xdr:row>
      <xdr:rowOff>44614</xdr:rowOff>
    </xdr:from>
    <xdr:to>
      <xdr:col>11</xdr:col>
      <xdr:colOff>593495</xdr:colOff>
      <xdr:row>27</xdr:row>
      <xdr:rowOff>64114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24688006-F723-48E5-8B7D-1617530E7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10</xdr:col>
      <xdr:colOff>574352</xdr:colOff>
      <xdr:row>22</xdr:row>
      <xdr:rowOff>44614</xdr:rowOff>
    </xdr:from>
    <xdr:to>
      <xdr:col>13</xdr:col>
      <xdr:colOff>516977</xdr:colOff>
      <xdr:row>27</xdr:row>
      <xdr:rowOff>64114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8FEEFC0A-8096-4D62-BFA7-F3754CF9D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8</xdr:col>
      <xdr:colOff>590550</xdr:colOff>
      <xdr:row>26</xdr:row>
      <xdr:rowOff>146050</xdr:rowOff>
    </xdr:from>
    <xdr:to>
      <xdr:col>9</xdr:col>
      <xdr:colOff>508000</xdr:colOff>
      <xdr:row>27</xdr:row>
      <xdr:rowOff>158750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85D8801B-1145-D0EE-203C-67BB145C642A}"/>
            </a:ext>
          </a:extLst>
        </xdr:cNvPr>
        <xdr:cNvSpPr txBox="1"/>
      </xdr:nvSpPr>
      <xdr:spPr>
        <a:xfrm>
          <a:off x="5447743" y="5459997"/>
          <a:ext cx="524599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r>
            <a:rPr lang="pt-BR" sz="800" b="1">
              <a:solidFill>
                <a:schemeClr val="accent3"/>
              </a:solidFill>
            </a:rPr>
            <a:t>Reserva</a:t>
          </a:r>
        </a:p>
      </xdr:txBody>
    </xdr:sp>
    <xdr:clientData/>
  </xdr:twoCellAnchor>
  <xdr:twoCellAnchor editAs="absolute">
    <xdr:from>
      <xdr:col>9</xdr:col>
      <xdr:colOff>403730</xdr:colOff>
      <xdr:row>26</xdr:row>
      <xdr:rowOff>146050</xdr:rowOff>
    </xdr:from>
    <xdr:to>
      <xdr:col>10</xdr:col>
      <xdr:colOff>321180</xdr:colOff>
      <xdr:row>27</xdr:row>
      <xdr:rowOff>158750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C4E503BB-C70E-0207-F2BD-E530FCF49D70}"/>
            </a:ext>
          </a:extLst>
        </xdr:cNvPr>
        <xdr:cNvSpPr txBox="1"/>
      </xdr:nvSpPr>
      <xdr:spPr>
        <a:xfrm>
          <a:off x="5868072" y="5459997"/>
          <a:ext cx="524599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r>
            <a:rPr lang="pt-BR" sz="800" b="1">
              <a:solidFill>
                <a:schemeClr val="accent2"/>
              </a:solidFill>
            </a:rPr>
            <a:t>Curto</a:t>
          </a:r>
        </a:p>
      </xdr:txBody>
    </xdr:sp>
    <xdr:clientData/>
  </xdr:twoCellAnchor>
  <xdr:twoCellAnchor editAs="absolute">
    <xdr:from>
      <xdr:col>10</xdr:col>
      <xdr:colOff>208324</xdr:colOff>
      <xdr:row>26</xdr:row>
      <xdr:rowOff>146050</xdr:rowOff>
    </xdr:from>
    <xdr:to>
      <xdr:col>11</xdr:col>
      <xdr:colOff>125774</xdr:colOff>
      <xdr:row>27</xdr:row>
      <xdr:rowOff>158750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BBAED27B-FC7C-AF29-C43A-BF9531D40EC9}"/>
            </a:ext>
          </a:extLst>
        </xdr:cNvPr>
        <xdr:cNvSpPr txBox="1"/>
      </xdr:nvSpPr>
      <xdr:spPr>
        <a:xfrm>
          <a:off x="6279815" y="5459997"/>
          <a:ext cx="524599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r>
            <a:rPr lang="pt-BR" sz="800" b="1">
              <a:solidFill>
                <a:schemeClr val="accent2"/>
              </a:solidFill>
            </a:rPr>
            <a:t>Médio</a:t>
          </a:r>
        </a:p>
      </xdr:txBody>
    </xdr:sp>
    <xdr:clientData/>
  </xdr:twoCellAnchor>
  <xdr:twoCellAnchor editAs="absolute">
    <xdr:from>
      <xdr:col>11</xdr:col>
      <xdr:colOff>18495</xdr:colOff>
      <xdr:row>26</xdr:row>
      <xdr:rowOff>146050</xdr:rowOff>
    </xdr:from>
    <xdr:to>
      <xdr:col>11</xdr:col>
      <xdr:colOff>543094</xdr:colOff>
      <xdr:row>27</xdr:row>
      <xdr:rowOff>158750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C18A0DD8-FFFA-49A5-7BD5-A80B281AF7EB}"/>
            </a:ext>
          </a:extLst>
        </xdr:cNvPr>
        <xdr:cNvSpPr txBox="1"/>
      </xdr:nvSpPr>
      <xdr:spPr>
        <a:xfrm>
          <a:off x="6697135" y="5459997"/>
          <a:ext cx="524599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r>
            <a:rPr lang="pt-BR" sz="800" b="1">
              <a:solidFill>
                <a:schemeClr val="accent2"/>
              </a:solidFill>
            </a:rPr>
            <a:t>Longo</a:t>
          </a:r>
        </a:p>
      </xdr:txBody>
    </xdr:sp>
    <xdr:clientData/>
  </xdr:twoCellAnchor>
  <xdr:twoCellAnchor editAs="absolute">
    <xdr:from>
      <xdr:col>11</xdr:col>
      <xdr:colOff>491513</xdr:colOff>
      <xdr:row>26</xdr:row>
      <xdr:rowOff>146050</xdr:rowOff>
    </xdr:from>
    <xdr:to>
      <xdr:col>12</xdr:col>
      <xdr:colOff>408964</xdr:colOff>
      <xdr:row>27</xdr:row>
      <xdr:rowOff>158750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54E01123-A80E-CB06-1979-3DEE9A9DF1A0}"/>
            </a:ext>
          </a:extLst>
        </xdr:cNvPr>
        <xdr:cNvSpPr txBox="1"/>
      </xdr:nvSpPr>
      <xdr:spPr>
        <a:xfrm>
          <a:off x="7180994" y="5487377"/>
          <a:ext cx="525585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r>
            <a:rPr lang="pt-BR" sz="800" b="1">
              <a:solidFill>
                <a:schemeClr val="accent1"/>
              </a:solidFill>
            </a:rPr>
            <a:t>Aposentadoria</a:t>
          </a:r>
        </a:p>
      </xdr:txBody>
    </xdr:sp>
    <xdr:clientData/>
  </xdr:twoCellAnchor>
  <xdr:twoCellAnchor editAs="absolute">
    <xdr:from>
      <xdr:col>9</xdr:col>
      <xdr:colOff>92035</xdr:colOff>
      <xdr:row>21</xdr:row>
      <xdr:rowOff>127019</xdr:rowOff>
    </xdr:from>
    <xdr:to>
      <xdr:col>9</xdr:col>
      <xdr:colOff>428903</xdr:colOff>
      <xdr:row>22</xdr:row>
      <xdr:rowOff>139719</xdr:rowOff>
    </xdr:to>
    <xdr:sp macro="" textlink="PercRes">
      <xdr:nvSpPr>
        <xdr:cNvPr id="39" name="CaixaDeTexto 38">
          <a:extLst>
            <a:ext uri="{FF2B5EF4-FFF2-40B4-BE49-F238E27FC236}">
              <a16:creationId xmlns:a16="http://schemas.microsoft.com/office/drawing/2014/main" id="{6642BCD0-8DA8-CE50-841B-DC2B97AB0A56}"/>
            </a:ext>
          </a:extLst>
        </xdr:cNvPr>
        <xdr:cNvSpPr txBox="1"/>
      </xdr:nvSpPr>
      <xdr:spPr>
        <a:xfrm>
          <a:off x="5556377" y="4494037"/>
          <a:ext cx="336868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fld id="{02FBAF2B-8673-4857-A7C5-E574675E3D3B}" type="TxLink">
            <a:rPr lang="en-US" sz="1050" b="1" i="0" u="none" strike="noStrike">
              <a:solidFill>
                <a:schemeClr val="accent3"/>
              </a:solidFill>
              <a:latin typeface="Calibri"/>
              <a:cs typeface="Calibri"/>
            </a:rPr>
            <a:pPr algn="ctr"/>
            <a:t>0%</a:t>
          </a:fld>
          <a:endParaRPr lang="pt-BR" sz="1050" b="1">
            <a:solidFill>
              <a:schemeClr val="accent3"/>
            </a:solidFill>
          </a:endParaRPr>
        </a:p>
      </xdr:txBody>
    </xdr:sp>
    <xdr:clientData/>
  </xdr:twoCellAnchor>
  <xdr:twoCellAnchor editAs="absolute">
    <xdr:from>
      <xdr:col>9</xdr:col>
      <xdr:colOff>444963</xdr:colOff>
      <xdr:row>21</xdr:row>
      <xdr:rowOff>127019</xdr:rowOff>
    </xdr:from>
    <xdr:to>
      <xdr:col>10</xdr:col>
      <xdr:colOff>174682</xdr:colOff>
      <xdr:row>22</xdr:row>
      <xdr:rowOff>139719</xdr:rowOff>
    </xdr:to>
    <xdr:sp macro="" textlink="PercCur">
      <xdr:nvSpPr>
        <xdr:cNvPr id="40" name="CaixaDeTexto 39">
          <a:extLst>
            <a:ext uri="{FF2B5EF4-FFF2-40B4-BE49-F238E27FC236}">
              <a16:creationId xmlns:a16="http://schemas.microsoft.com/office/drawing/2014/main" id="{3F2C15A1-AF77-2F37-6376-A2065BC70AF2}"/>
            </a:ext>
          </a:extLst>
        </xdr:cNvPr>
        <xdr:cNvSpPr txBox="1"/>
      </xdr:nvSpPr>
      <xdr:spPr>
        <a:xfrm>
          <a:off x="5909305" y="4494037"/>
          <a:ext cx="336868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fld id="{E547EB20-C2E9-4CDE-AF7F-A7949E983EB0}" type="TxLink">
            <a:rPr lang="en-US" sz="1050" b="1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0%</a:t>
          </a:fld>
          <a:endParaRPr lang="pt-BR" sz="1000" b="1">
            <a:solidFill>
              <a:schemeClr val="accent2"/>
            </a:solidFill>
          </a:endParaRPr>
        </a:p>
      </xdr:txBody>
    </xdr:sp>
    <xdr:clientData/>
  </xdr:twoCellAnchor>
  <xdr:twoCellAnchor editAs="absolute">
    <xdr:from>
      <xdr:col>10</xdr:col>
      <xdr:colOff>274292</xdr:colOff>
      <xdr:row>21</xdr:row>
      <xdr:rowOff>127019</xdr:rowOff>
    </xdr:from>
    <xdr:to>
      <xdr:col>11</xdr:col>
      <xdr:colOff>4011</xdr:colOff>
      <xdr:row>22</xdr:row>
      <xdr:rowOff>139719</xdr:rowOff>
    </xdr:to>
    <xdr:sp macro="" textlink="PercMed">
      <xdr:nvSpPr>
        <xdr:cNvPr id="41" name="CaixaDeTexto 40">
          <a:extLst>
            <a:ext uri="{FF2B5EF4-FFF2-40B4-BE49-F238E27FC236}">
              <a16:creationId xmlns:a16="http://schemas.microsoft.com/office/drawing/2014/main" id="{53D2068B-A685-A9ED-06E5-0FEBA7B789FC}"/>
            </a:ext>
          </a:extLst>
        </xdr:cNvPr>
        <xdr:cNvSpPr txBox="1"/>
      </xdr:nvSpPr>
      <xdr:spPr>
        <a:xfrm>
          <a:off x="6345783" y="4494037"/>
          <a:ext cx="336868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fld id="{23BBBDCE-F3EA-4B38-9553-007923C08DBD}" type="TxLink">
            <a:rPr lang="en-US" sz="1050" b="1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0%</a:t>
          </a:fld>
          <a:endParaRPr lang="pt-BR" sz="1000" b="1">
            <a:solidFill>
              <a:schemeClr val="accent2"/>
            </a:solidFill>
          </a:endParaRPr>
        </a:p>
      </xdr:txBody>
    </xdr:sp>
    <xdr:clientData/>
  </xdr:twoCellAnchor>
  <xdr:twoCellAnchor editAs="absolute">
    <xdr:from>
      <xdr:col>11</xdr:col>
      <xdr:colOff>92485</xdr:colOff>
      <xdr:row>21</xdr:row>
      <xdr:rowOff>127019</xdr:rowOff>
    </xdr:from>
    <xdr:to>
      <xdr:col>11</xdr:col>
      <xdr:colOff>429353</xdr:colOff>
      <xdr:row>22</xdr:row>
      <xdr:rowOff>139719</xdr:rowOff>
    </xdr:to>
    <xdr:sp macro="" textlink="PercLon">
      <xdr:nvSpPr>
        <xdr:cNvPr id="42" name="CaixaDeTexto 41">
          <a:extLst>
            <a:ext uri="{FF2B5EF4-FFF2-40B4-BE49-F238E27FC236}">
              <a16:creationId xmlns:a16="http://schemas.microsoft.com/office/drawing/2014/main" id="{AC98F03A-4012-630D-A9C0-2BE914095123}"/>
            </a:ext>
          </a:extLst>
        </xdr:cNvPr>
        <xdr:cNvSpPr txBox="1"/>
      </xdr:nvSpPr>
      <xdr:spPr>
        <a:xfrm>
          <a:off x="6771125" y="4494037"/>
          <a:ext cx="336868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fld id="{3ED40A64-0938-42FC-85C4-A398D421B5F9}" type="TxLink">
            <a:rPr lang="en-US" sz="1050" b="1" i="0" u="none" strike="noStrike">
              <a:solidFill>
                <a:schemeClr val="accent2"/>
              </a:solidFill>
              <a:latin typeface="Calibri"/>
              <a:cs typeface="Calibri"/>
            </a:rPr>
            <a:pPr algn="ctr"/>
            <a:t>0%</a:t>
          </a:fld>
          <a:endParaRPr lang="pt-BR" sz="1000" b="1">
            <a:solidFill>
              <a:schemeClr val="accent2"/>
            </a:solidFill>
          </a:endParaRPr>
        </a:p>
      </xdr:txBody>
    </xdr:sp>
    <xdr:clientData/>
  </xdr:twoCellAnchor>
  <xdr:twoCellAnchor editAs="absolute">
    <xdr:from>
      <xdr:col>12</xdr:col>
      <xdr:colOff>49927</xdr:colOff>
      <xdr:row>21</xdr:row>
      <xdr:rowOff>127019</xdr:rowOff>
    </xdr:from>
    <xdr:to>
      <xdr:col>12</xdr:col>
      <xdr:colOff>386795</xdr:colOff>
      <xdr:row>22</xdr:row>
      <xdr:rowOff>139719</xdr:rowOff>
    </xdr:to>
    <xdr:sp macro="" textlink="PercApos">
      <xdr:nvSpPr>
        <xdr:cNvPr id="43" name="CaixaDeTexto 42">
          <a:extLst>
            <a:ext uri="{FF2B5EF4-FFF2-40B4-BE49-F238E27FC236}">
              <a16:creationId xmlns:a16="http://schemas.microsoft.com/office/drawing/2014/main" id="{F6463B52-69FE-C6FF-992B-B43D5E506C4B}"/>
            </a:ext>
          </a:extLst>
        </xdr:cNvPr>
        <xdr:cNvSpPr txBox="1"/>
      </xdr:nvSpPr>
      <xdr:spPr>
        <a:xfrm>
          <a:off x="7335716" y="4494037"/>
          <a:ext cx="336868" cy="20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fld id="{80FBF9DE-04B3-465D-9FAD-2CC5EF3181E7}" type="TxLink">
            <a:rPr lang="en-US" sz="105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0%</a:t>
          </a:fld>
          <a:endParaRPr lang="pt-BR" sz="1000" b="1">
            <a:solidFill>
              <a:schemeClr val="accent1"/>
            </a:solidFill>
          </a:endParaRPr>
        </a:p>
      </xdr:txBody>
    </xdr:sp>
    <xdr:clientData/>
  </xdr:twoCellAnchor>
  <xdr:twoCellAnchor editAs="absolute">
    <xdr:from>
      <xdr:col>13</xdr:col>
      <xdr:colOff>130466</xdr:colOff>
      <xdr:row>23</xdr:row>
      <xdr:rowOff>77823</xdr:rowOff>
    </xdr:from>
    <xdr:to>
      <xdr:col>14</xdr:col>
      <xdr:colOff>419506</xdr:colOff>
      <xdr:row>28</xdr:row>
      <xdr:rowOff>25323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D71CAF3-3201-432B-BAD9-9EB0D8EB39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14</xdr:col>
      <xdr:colOff>247161</xdr:colOff>
      <xdr:row>23</xdr:row>
      <xdr:rowOff>77824</xdr:rowOff>
    </xdr:from>
    <xdr:to>
      <xdr:col>15</xdr:col>
      <xdr:colOff>535020</xdr:colOff>
      <xdr:row>28</xdr:row>
      <xdr:rowOff>25323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8ECDB25A-B03B-4722-810A-123657A86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15</xdr:col>
      <xdr:colOff>525011</xdr:colOff>
      <xdr:row>25</xdr:row>
      <xdr:rowOff>20141</xdr:rowOff>
    </xdr:from>
    <xdr:to>
      <xdr:col>16</xdr:col>
      <xdr:colOff>21406</xdr:colOff>
      <xdr:row>25</xdr:row>
      <xdr:rowOff>92141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38910A61-2F07-0B15-D24F-BAA5FFDA0257}"/>
            </a:ext>
          </a:extLst>
        </xdr:cNvPr>
        <xdr:cNvSpPr/>
      </xdr:nvSpPr>
      <xdr:spPr>
        <a:xfrm>
          <a:off x="9699090" y="5173667"/>
          <a:ext cx="108000" cy="72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525011</xdr:colOff>
      <xdr:row>25</xdr:row>
      <xdr:rowOff>179989</xdr:rowOff>
    </xdr:from>
    <xdr:to>
      <xdr:col>16</xdr:col>
      <xdr:colOff>21406</xdr:colOff>
      <xdr:row>26</xdr:row>
      <xdr:rowOff>61489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644489C-86B0-5B0C-7365-63BA4041DDAC}"/>
            </a:ext>
          </a:extLst>
        </xdr:cNvPr>
        <xdr:cNvSpPr/>
      </xdr:nvSpPr>
      <xdr:spPr>
        <a:xfrm>
          <a:off x="9699090" y="5333515"/>
          <a:ext cx="108000" cy="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581323</xdr:colOff>
      <xdr:row>24</xdr:row>
      <xdr:rowOff>155940</xdr:rowOff>
    </xdr:from>
    <xdr:to>
      <xdr:col>16</xdr:col>
      <xdr:colOff>498774</xdr:colOff>
      <xdr:row>25</xdr:row>
      <xdr:rowOff>168640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956B8A71-1D25-BC63-1E48-AC526426AF9F}"/>
            </a:ext>
          </a:extLst>
        </xdr:cNvPr>
        <xdr:cNvSpPr txBox="1"/>
      </xdr:nvSpPr>
      <xdr:spPr>
        <a:xfrm>
          <a:off x="9755402" y="5118966"/>
          <a:ext cx="529056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pt-BR" sz="600" b="0">
              <a:solidFill>
                <a:schemeClr val="bg1">
                  <a:lumMod val="90000"/>
                </a:schemeClr>
              </a:solidFill>
            </a:rPr>
            <a:t>Imobilizado</a:t>
          </a:r>
        </a:p>
      </xdr:txBody>
    </xdr:sp>
    <xdr:clientData/>
  </xdr:twoCellAnchor>
  <xdr:twoCellAnchor editAs="absolute">
    <xdr:from>
      <xdr:col>15</xdr:col>
      <xdr:colOff>581323</xdr:colOff>
      <xdr:row>25</xdr:row>
      <xdr:rowOff>124436</xdr:rowOff>
    </xdr:from>
    <xdr:to>
      <xdr:col>16</xdr:col>
      <xdr:colOff>498774</xdr:colOff>
      <xdr:row>26</xdr:row>
      <xdr:rowOff>137136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A896825A-A73C-235F-0878-48F18BBBE207}"/>
            </a:ext>
          </a:extLst>
        </xdr:cNvPr>
        <xdr:cNvSpPr txBox="1"/>
      </xdr:nvSpPr>
      <xdr:spPr>
        <a:xfrm>
          <a:off x="9715954" y="5277305"/>
          <a:ext cx="526427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pPr algn="l"/>
          <a:r>
            <a:rPr lang="pt-BR" sz="600" b="0">
              <a:solidFill>
                <a:schemeClr val="bg1">
                  <a:lumMod val="90000"/>
                </a:schemeClr>
              </a:solidFill>
            </a:rPr>
            <a:t>Financeiro</a:t>
          </a:r>
        </a:p>
      </xdr:txBody>
    </xdr:sp>
    <xdr:clientData/>
  </xdr:twoCellAnchor>
  <xdr:twoCellAnchor editAs="absolute">
    <xdr:from>
      <xdr:col>13</xdr:col>
      <xdr:colOff>142783</xdr:colOff>
      <xdr:row>20</xdr:row>
      <xdr:rowOff>152400</xdr:rowOff>
    </xdr:from>
    <xdr:to>
      <xdr:col>13</xdr:col>
      <xdr:colOff>142875</xdr:colOff>
      <xdr:row>27</xdr:row>
      <xdr:rowOff>51417</xdr:rowOff>
    </xdr:to>
    <xdr:cxnSp macro="">
      <xdr:nvCxnSpPr>
        <xdr:cNvPr id="51" name="Conector reto 50">
          <a:extLst>
            <a:ext uri="{FF2B5EF4-FFF2-40B4-BE49-F238E27FC236}">
              <a16:creationId xmlns:a16="http://schemas.microsoft.com/office/drawing/2014/main" id="{FC5EDD6E-F1C9-72A9-9100-940F5858E856}"/>
            </a:ext>
          </a:extLst>
        </xdr:cNvPr>
        <xdr:cNvCxnSpPr/>
      </xdr:nvCxnSpPr>
      <xdr:spPr>
        <a:xfrm flipV="1">
          <a:off x="8067583" y="4352925"/>
          <a:ext cx="92" cy="1232517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174986</xdr:colOff>
      <xdr:row>20</xdr:row>
      <xdr:rowOff>80161</xdr:rowOff>
    </xdr:from>
    <xdr:to>
      <xdr:col>16</xdr:col>
      <xdr:colOff>424482</xdr:colOff>
      <xdr:row>24</xdr:row>
      <xdr:rowOff>3183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15B58B4A-F39E-40B1-B7FF-C5BF0A400D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</xdr:col>
      <xdr:colOff>210521</xdr:colOff>
      <xdr:row>6</xdr:row>
      <xdr:rowOff>75596</xdr:rowOff>
    </xdr:from>
    <xdr:to>
      <xdr:col>8</xdr:col>
      <xdr:colOff>318712</xdr:colOff>
      <xdr:row>19</xdr:row>
      <xdr:rowOff>77939</xdr:rowOff>
    </xdr:to>
    <xdr:graphicFrame macro="">
      <xdr:nvGraphicFramePr>
        <xdr:cNvPr id="54" name="GrafDespesa">
          <a:extLst>
            <a:ext uri="{FF2B5EF4-FFF2-40B4-BE49-F238E27FC236}">
              <a16:creationId xmlns:a16="http://schemas.microsoft.com/office/drawing/2014/main" id="{34BDD49C-8DBB-430B-8688-363D25FD3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17</xdr:col>
      <xdr:colOff>149086</xdr:colOff>
      <xdr:row>11</xdr:row>
      <xdr:rowOff>134380</xdr:rowOff>
    </xdr:from>
    <xdr:to>
      <xdr:col>19</xdr:col>
      <xdr:colOff>176060</xdr:colOff>
      <xdr:row>19</xdr:row>
      <xdr:rowOff>23892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essoa">
              <a:extLst>
                <a:ext uri="{FF2B5EF4-FFF2-40B4-BE49-F238E27FC236}">
                  <a16:creationId xmlns:a16="http://schemas.microsoft.com/office/drawing/2014/main" id="{46A6756B-80DF-4CCF-BE1C-203DF84C472D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sso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512286" y="2620405"/>
              <a:ext cx="1246174" cy="1413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13</xdr:col>
      <xdr:colOff>365492</xdr:colOff>
      <xdr:row>27</xdr:row>
      <xdr:rowOff>71315</xdr:rowOff>
    </xdr:from>
    <xdr:to>
      <xdr:col>14</xdr:col>
      <xdr:colOff>190501</xdr:colOff>
      <xdr:row>28</xdr:row>
      <xdr:rowOff>84015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55E84F0B-0BCF-7802-E323-ACB4CF6777A9}"/>
            </a:ext>
          </a:extLst>
        </xdr:cNvPr>
        <xdr:cNvSpPr txBox="1"/>
      </xdr:nvSpPr>
      <xdr:spPr>
        <a:xfrm>
          <a:off x="8271242" y="5603142"/>
          <a:ext cx="433144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r>
            <a:rPr lang="pt-BR" sz="800" b="0">
              <a:solidFill>
                <a:schemeClr val="bg1">
                  <a:lumMod val="75000"/>
                </a:schemeClr>
              </a:solidFill>
            </a:rPr>
            <a:t>Ativo</a:t>
          </a:r>
        </a:p>
      </xdr:txBody>
    </xdr:sp>
    <xdr:clientData/>
  </xdr:twoCellAnchor>
  <xdr:twoCellAnchor editAs="absolute">
    <xdr:from>
      <xdr:col>14</xdr:col>
      <xdr:colOff>488584</xdr:colOff>
      <xdr:row>27</xdr:row>
      <xdr:rowOff>77177</xdr:rowOff>
    </xdr:from>
    <xdr:to>
      <xdr:col>15</xdr:col>
      <xdr:colOff>313594</xdr:colOff>
      <xdr:row>28</xdr:row>
      <xdr:rowOff>89877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5953FA78-FDC0-F6EF-0C92-1A154DAACFE5}"/>
            </a:ext>
          </a:extLst>
        </xdr:cNvPr>
        <xdr:cNvSpPr txBox="1"/>
      </xdr:nvSpPr>
      <xdr:spPr>
        <a:xfrm>
          <a:off x="9002469" y="5609004"/>
          <a:ext cx="433144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/>
        <a:lstStyle/>
        <a:p>
          <a:r>
            <a:rPr lang="pt-BR" sz="800" b="0">
              <a:solidFill>
                <a:schemeClr val="bg1">
                  <a:lumMod val="75000"/>
                </a:schemeClr>
              </a:solidFill>
            </a:rPr>
            <a:t>Passivo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127553</xdr:colOff>
          <xdr:row>23</xdr:row>
          <xdr:rowOff>45312</xdr:rowOff>
        </xdr:from>
        <xdr:to>
          <xdr:col>19</xdr:col>
          <xdr:colOff>196787</xdr:colOff>
          <xdr:row>27</xdr:row>
          <xdr:rowOff>121097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AFC93B7E-6B04-4ACC-8506-5D3AC38037D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sumoBancos" spid="_x0000_s1276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10513087" y="4814381"/>
              <a:ext cx="1291062" cy="83778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243379</xdr:colOff>
      <xdr:row>1</xdr:row>
      <xdr:rowOff>1096</xdr:rowOff>
    </xdr:to>
    <xdr:pic>
      <xdr:nvPicPr>
        <xdr:cNvPr id="5" name="Fluxo">
          <a:extLst>
            <a:ext uri="{FF2B5EF4-FFF2-40B4-BE49-F238E27FC236}">
              <a16:creationId xmlns:a16="http://schemas.microsoft.com/office/drawing/2014/main" id="{16CFDE2A-7488-488B-5220-12CD996C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87754" cy="581025"/>
        </a:xfrm>
        <a:prstGeom prst="rect">
          <a:avLst/>
        </a:prstGeom>
      </xdr:spPr>
    </xdr:pic>
    <xdr:clientData/>
  </xdr:twoCellAnchor>
  <xdr:twoCellAnchor editAs="absolute">
    <xdr:from>
      <xdr:col>9</xdr:col>
      <xdr:colOff>609600</xdr:colOff>
      <xdr:row>0</xdr:row>
      <xdr:rowOff>57150</xdr:rowOff>
    </xdr:from>
    <xdr:to>
      <xdr:col>13</xdr:col>
      <xdr:colOff>558600</xdr:colOff>
      <xdr:row>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ANO">
              <a:extLst>
                <a:ext uri="{FF2B5EF4-FFF2-40B4-BE49-F238E27FC236}">
                  <a16:creationId xmlns:a16="http://schemas.microsoft.com/office/drawing/2014/main" id="{5AD8BE62-EE64-AF3B-4F75-AF013602A8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72375" y="57150"/>
              <a:ext cx="2539800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1</xdr:col>
      <xdr:colOff>428625</xdr:colOff>
      <xdr:row>0</xdr:row>
      <xdr:rowOff>76200</xdr:rowOff>
    </xdr:from>
    <xdr:to>
      <xdr:col>3</xdr:col>
      <xdr:colOff>605790</xdr:colOff>
      <xdr:row>0</xdr:row>
      <xdr:rowOff>409575</xdr:rowOff>
    </xdr:to>
    <xdr:grpSp>
      <xdr:nvGrpSpPr>
        <xdr:cNvPr id="2" name="Links">
          <a:extLst>
            <a:ext uri="{FF2B5EF4-FFF2-40B4-BE49-F238E27FC236}">
              <a16:creationId xmlns:a16="http://schemas.microsoft.com/office/drawing/2014/main" id="{8F7C5411-5FD6-4852-A770-BCA8CE088D45}"/>
            </a:ext>
          </a:extLst>
        </xdr:cNvPr>
        <xdr:cNvGrpSpPr/>
      </xdr:nvGrpSpPr>
      <xdr:grpSpPr>
        <a:xfrm>
          <a:off x="611505" y="76200"/>
          <a:ext cx="3147060" cy="331470"/>
          <a:chOff x="628650" y="57150"/>
          <a:chExt cx="3072765" cy="333375"/>
        </a:xfrm>
      </xdr:grpSpPr>
      <xdr:sp macro="" textlink="">
        <xdr:nvSpPr>
          <xdr:cNvPr id="3" name="Configurações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2D87D6-FD2C-32F9-37E7-1227F74A6B4C}"/>
              </a:ext>
            </a:extLst>
          </xdr:cNvPr>
          <xdr:cNvSpPr/>
        </xdr:nvSpPr>
        <xdr:spPr>
          <a:xfrm>
            <a:off x="334899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gistro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04C7D97-1C60-3ACF-9C6B-24FC430F9616}"/>
              </a:ext>
            </a:extLst>
          </xdr:cNvPr>
          <xdr:cNvSpPr/>
        </xdr:nvSpPr>
        <xdr:spPr>
          <a:xfrm>
            <a:off x="2892425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Projetos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7A6A9EA-1B36-1F4E-EB15-EAB4072588A2}"/>
              </a:ext>
            </a:extLst>
          </xdr:cNvPr>
          <xdr:cNvSpPr/>
        </xdr:nvSpPr>
        <xdr:spPr>
          <a:xfrm>
            <a:off x="241681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Patrimôni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E4E2C18-F6BB-CC13-6AC2-4B254063EA4C}"/>
              </a:ext>
            </a:extLst>
          </xdr:cNvPr>
          <xdr:cNvSpPr/>
        </xdr:nvSpPr>
        <xdr:spPr>
          <a:xfrm>
            <a:off x="196977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Lançamento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9D0C53D-0A76-33EC-833D-D162BB50B027}"/>
              </a:ext>
            </a:extLst>
          </xdr:cNvPr>
          <xdr:cNvSpPr/>
        </xdr:nvSpPr>
        <xdr:spPr>
          <a:xfrm>
            <a:off x="152273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" name="Flux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6AB2DFF8-9816-D132-FB80-57F6EB3AE3AF}"/>
              </a:ext>
            </a:extLst>
          </xdr:cNvPr>
          <xdr:cNvSpPr/>
        </xdr:nvSpPr>
        <xdr:spPr>
          <a:xfrm>
            <a:off x="107569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Das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7C8FD4F-504C-06AA-2951-3F580D1B42FB}"/>
              </a:ext>
            </a:extLst>
          </xdr:cNvPr>
          <xdr:cNvSpPr/>
        </xdr:nvSpPr>
        <xdr:spPr>
          <a:xfrm>
            <a:off x="628650" y="57150"/>
            <a:ext cx="352425" cy="333375"/>
          </a:xfrm>
          <a:prstGeom prst="rect">
            <a:avLst/>
          </a:prstGeom>
          <a:solidFill>
            <a:srgbClr val="FFFFFF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14</xdr:col>
      <xdr:colOff>238125</xdr:colOff>
      <xdr:row>0</xdr:row>
      <xdr:rowOff>152400</xdr:rowOff>
    </xdr:from>
    <xdr:to>
      <xdr:col>16</xdr:col>
      <xdr:colOff>265365</xdr:colOff>
      <xdr:row>0</xdr:row>
      <xdr:rowOff>428767</xdr:rowOff>
    </xdr:to>
    <xdr:grpSp>
      <xdr:nvGrpSpPr>
        <xdr:cNvPr id="16" name="Macros">
          <a:extLst>
            <a:ext uri="{FF2B5EF4-FFF2-40B4-BE49-F238E27FC236}">
              <a16:creationId xmlns:a16="http://schemas.microsoft.com/office/drawing/2014/main" id="{4974EA8C-7861-4212-9450-FA36608008A9}"/>
            </a:ext>
          </a:extLst>
        </xdr:cNvPr>
        <xdr:cNvGrpSpPr/>
      </xdr:nvGrpSpPr>
      <xdr:grpSpPr>
        <a:xfrm>
          <a:off x="10727055" y="152400"/>
          <a:ext cx="1358835" cy="278272"/>
          <a:chOff x="10424013" y="142875"/>
          <a:chExt cx="1319710" cy="276367"/>
        </a:xfrm>
      </xdr:grpSpPr>
      <xdr:sp macro="" textlink="">
        <xdr:nvSpPr>
          <xdr:cNvPr id="17" name="Manual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DBC094A-F471-5473-76DC-6CB561E68F3B}"/>
              </a:ext>
            </a:extLst>
          </xdr:cNvPr>
          <xdr:cNvSpPr/>
        </xdr:nvSpPr>
        <xdr:spPr>
          <a:xfrm>
            <a:off x="11479555" y="143345"/>
            <a:ext cx="264168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inimizar" textlink="">
        <xdr:nvSpPr>
          <xdr:cNvPr id="18" name="Minimizar">
            <a:extLst>
              <a:ext uri="{FF2B5EF4-FFF2-40B4-BE49-F238E27FC236}">
                <a16:creationId xmlns:a16="http://schemas.microsoft.com/office/drawing/2014/main" id="{FA4407FE-0C5F-3FAD-0083-7DF79A0D49D2}"/>
              </a:ext>
            </a:extLst>
          </xdr:cNvPr>
          <xdr:cNvSpPr/>
        </xdr:nvSpPr>
        <xdr:spPr>
          <a:xfrm>
            <a:off x="11150756" y="143345"/>
            <a:ext cx="268014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ximizar" textlink="">
        <xdr:nvSpPr>
          <xdr:cNvPr id="19" name="Ampliar">
            <a:extLst>
              <a:ext uri="{FF2B5EF4-FFF2-40B4-BE49-F238E27FC236}">
                <a16:creationId xmlns:a16="http://schemas.microsoft.com/office/drawing/2014/main" id="{AB330183-C637-1BC9-AEE2-A74422FEAF95}"/>
              </a:ext>
            </a:extLst>
          </xdr:cNvPr>
          <xdr:cNvSpPr/>
        </xdr:nvSpPr>
        <xdr:spPr>
          <a:xfrm>
            <a:off x="10788992" y="146938"/>
            <a:ext cx="272405" cy="272304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20" name="Atualizar">
            <a:extLst>
              <a:ext uri="{FF2B5EF4-FFF2-40B4-BE49-F238E27FC236}">
                <a16:creationId xmlns:a16="http://schemas.microsoft.com/office/drawing/2014/main" id="{55CD9A8C-15B9-F804-2384-B50A0A9F7B87}"/>
              </a:ext>
            </a:extLst>
          </xdr:cNvPr>
          <xdr:cNvSpPr/>
        </xdr:nvSpPr>
        <xdr:spPr>
          <a:xfrm>
            <a:off x="10424013" y="142875"/>
            <a:ext cx="285145" cy="27636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2005</xdr:colOff>
      <xdr:row>14</xdr:row>
      <xdr:rowOff>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6BE28251-5C4D-34A4-8873-EC9D0BC14B95}"/>
            </a:ext>
          </a:extLst>
        </xdr:cNvPr>
        <xdr:cNvSpPr txBox="1"/>
      </xdr:nvSpPr>
      <xdr:spPr>
        <a:xfrm>
          <a:off x="180474" y="2025316"/>
          <a:ext cx="224789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/>
            <a:t>Comparativo entre os gastos feitos no cartão e o pagamento de fatura </a:t>
          </a:r>
          <a:r>
            <a:rPr lang="pt-BR" sz="800" i="1"/>
            <a:t>(precisam ser iguais)</a:t>
          </a:r>
        </a:p>
      </xdr:txBody>
    </xdr:sp>
    <xdr:clientData/>
  </xdr:twoCellAnchor>
  <xdr:twoCellAnchor>
    <xdr:from>
      <xdr:col>0</xdr:col>
      <xdr:colOff>170446</xdr:colOff>
      <xdr:row>5</xdr:row>
      <xdr:rowOff>190499</xdr:rowOff>
    </xdr:from>
    <xdr:to>
      <xdr:col>1</xdr:col>
      <xdr:colOff>2245894</xdr:colOff>
      <xdr:row>7</xdr:row>
      <xdr:rowOff>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D07394E6-A7F3-B716-8D6C-9B5796E9EEC7}"/>
            </a:ext>
          </a:extLst>
        </xdr:cNvPr>
        <xdr:cNvSpPr txBox="1"/>
      </xdr:nvSpPr>
      <xdr:spPr>
        <a:xfrm>
          <a:off x="170446" y="1268328"/>
          <a:ext cx="2255922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>
              <a:effectLst/>
            </a:rPr>
            <a:t>Resumo de Receita e Despesas</a:t>
          </a:r>
        </a:p>
        <a:p>
          <a:pPr algn="ctr"/>
          <a:endParaRPr lang="pt-BR" sz="800">
            <a:effectLst/>
          </a:endParaRPr>
        </a:p>
      </xdr:txBody>
    </xdr:sp>
    <xdr:clientData/>
  </xdr:twoCellAnchor>
  <xdr:twoCellAnchor>
    <xdr:from>
      <xdr:col>1</xdr:col>
      <xdr:colOff>0</xdr:colOff>
      <xdr:row>16</xdr:row>
      <xdr:rowOff>190500</xdr:rowOff>
    </xdr:from>
    <xdr:to>
      <xdr:col>1</xdr:col>
      <xdr:colOff>2246585</xdr:colOff>
      <xdr:row>19</xdr:row>
      <xdr:rowOff>190500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B4655A76-37A7-DABD-791C-9F6B3BBEAB7D}"/>
            </a:ext>
          </a:extLst>
        </xdr:cNvPr>
        <xdr:cNvSpPr txBox="1"/>
      </xdr:nvSpPr>
      <xdr:spPr>
        <a:xfrm>
          <a:off x="183931" y="2975741"/>
          <a:ext cx="224658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Detalhamento</a:t>
          </a:r>
          <a:r>
            <a:rPr lang="pt-BR" sz="8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das Receitas e Despesas</a:t>
          </a:r>
          <a:endParaRPr lang="pt-BR" sz="800">
            <a:effectLst/>
          </a:endParaRPr>
        </a:p>
        <a:p>
          <a:pPr algn="ctr"/>
          <a:r>
            <a:rPr lang="pt-BR" sz="8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(ver resumo acima)</a:t>
          </a:r>
          <a:endParaRPr lang="pt-BR" sz="800">
            <a:effectLst/>
          </a:endParaRPr>
        </a:p>
        <a:p>
          <a:pPr algn="ctr"/>
          <a:endParaRPr lang="pt-BR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8</xdr:col>
      <xdr:colOff>3106428</xdr:colOff>
      <xdr:row>1</xdr:row>
      <xdr:rowOff>0</xdr:rowOff>
    </xdr:to>
    <xdr:pic>
      <xdr:nvPicPr>
        <xdr:cNvPr id="2" name="Lancamento">
          <a:extLst>
            <a:ext uri="{FF2B5EF4-FFF2-40B4-BE49-F238E27FC236}">
              <a16:creationId xmlns:a16="http://schemas.microsoft.com/office/drawing/2014/main" id="{BC29AF5B-D3B7-41A1-AC58-A923C9F5D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95208" cy="581025"/>
        </a:xfrm>
        <a:prstGeom prst="rect">
          <a:avLst/>
        </a:prstGeom>
      </xdr:spPr>
    </xdr:pic>
    <xdr:clientData/>
  </xdr:twoCellAnchor>
  <xdr:twoCellAnchor editAs="absolute">
    <xdr:from>
      <xdr:col>3</xdr:col>
      <xdr:colOff>609600</xdr:colOff>
      <xdr:row>4</xdr:row>
      <xdr:rowOff>0</xdr:rowOff>
    </xdr:from>
    <xdr:to>
      <xdr:col>3</xdr:col>
      <xdr:colOff>609600</xdr:colOff>
      <xdr:row>5</xdr:row>
      <xdr:rowOff>167640</xdr:rowOff>
    </xdr:to>
    <xdr:cxnSp macro="">
      <xdr:nvCxnSpPr>
        <xdr:cNvPr id="35" name="Conector reto 34">
          <a:extLst>
            <a:ext uri="{FF2B5EF4-FFF2-40B4-BE49-F238E27FC236}">
              <a16:creationId xmlns:a16="http://schemas.microsoft.com/office/drawing/2014/main" id="{FEA5C8E1-0987-AA9B-EB9B-3D3DA6C62AE4}"/>
            </a:ext>
          </a:extLst>
        </xdr:cNvPr>
        <xdr:cNvCxnSpPr/>
      </xdr:nvCxnSpPr>
      <xdr:spPr>
        <a:xfrm>
          <a:off x="2219325" y="895350"/>
          <a:ext cx="0" cy="361950"/>
        </a:xfrm>
        <a:prstGeom prst="line">
          <a:avLst/>
        </a:prstGeom>
        <a:ln>
          <a:solidFill>
            <a:srgbClr val="FFFFFF">
              <a:alpha val="50196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2914650</xdr:colOff>
      <xdr:row>3</xdr:row>
      <xdr:rowOff>285750</xdr:rowOff>
    </xdr:from>
    <xdr:to>
      <xdr:col>3</xdr:col>
      <xdr:colOff>2914650</xdr:colOff>
      <xdr:row>5</xdr:row>
      <xdr:rowOff>133350</xdr:rowOff>
    </xdr:to>
    <xdr:cxnSp macro="">
      <xdr:nvCxnSpPr>
        <xdr:cNvPr id="37" name="Conector reto 36">
          <a:extLst>
            <a:ext uri="{FF2B5EF4-FFF2-40B4-BE49-F238E27FC236}">
              <a16:creationId xmlns:a16="http://schemas.microsoft.com/office/drawing/2014/main" id="{D38046D2-C865-802C-B78C-F62C5ADDAA16}"/>
            </a:ext>
          </a:extLst>
        </xdr:cNvPr>
        <xdr:cNvCxnSpPr/>
      </xdr:nvCxnSpPr>
      <xdr:spPr>
        <a:xfrm>
          <a:off x="4524375" y="866775"/>
          <a:ext cx="0" cy="361950"/>
        </a:xfrm>
        <a:prstGeom prst="line">
          <a:avLst/>
        </a:prstGeom>
        <a:ln>
          <a:solidFill>
            <a:srgbClr val="FFFFFF">
              <a:alpha val="50196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55245</xdr:colOff>
      <xdr:row>4</xdr:row>
      <xdr:rowOff>22407</xdr:rowOff>
    </xdr:from>
    <xdr:to>
      <xdr:col>2</xdr:col>
      <xdr:colOff>93448</xdr:colOff>
      <xdr:row>5</xdr:row>
      <xdr:rowOff>75466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14235E88-0B77-F423-1334-96EC921C1562}"/>
            </a:ext>
          </a:extLst>
        </xdr:cNvPr>
        <xdr:cNvGrpSpPr/>
      </xdr:nvGrpSpPr>
      <xdr:grpSpPr>
        <a:xfrm>
          <a:off x="240030" y="923472"/>
          <a:ext cx="771628" cy="237844"/>
          <a:chOff x="248892" y="935497"/>
          <a:chExt cx="739078" cy="233205"/>
        </a:xfrm>
      </xdr:grpSpPr>
      <xdr:sp macro="[0]!lancar_movimento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616C495C-328D-A62A-494A-ACF3A1AD1FDA}"/>
              </a:ext>
            </a:extLst>
          </xdr:cNvPr>
          <xdr:cNvSpPr/>
        </xdr:nvSpPr>
        <xdr:spPr>
          <a:xfrm>
            <a:off x="248892" y="941733"/>
            <a:ext cx="721530" cy="186371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lancar_movimento">
        <xdr:nvPicPr>
          <xdr:cNvPr id="3" name="Gráfico 139" descr="Assinatura com preenchimento sólido">
            <a:extLst>
              <a:ext uri="{FF2B5EF4-FFF2-40B4-BE49-F238E27FC236}">
                <a16:creationId xmlns:a16="http://schemas.microsoft.com/office/drawing/2014/main" id="{C8948AA4-B184-4EE4-AC12-8B3DB7A977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06042" y="941733"/>
            <a:ext cx="191070" cy="177756"/>
          </a:xfrm>
          <a:prstGeom prst="rect">
            <a:avLst/>
          </a:prstGeom>
        </xdr:spPr>
      </xdr:pic>
      <xdr:sp macro="[0]!lancar_movimento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53FCB82-90D8-FA0C-0BD3-F68ECA2A7313}"/>
              </a:ext>
            </a:extLst>
          </xdr:cNvPr>
          <xdr:cNvSpPr txBox="1"/>
        </xdr:nvSpPr>
        <xdr:spPr>
          <a:xfrm>
            <a:off x="489244" y="935497"/>
            <a:ext cx="498726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900" b="0">
                <a:solidFill>
                  <a:schemeClr val="tx1"/>
                </a:solidFill>
              </a:rPr>
              <a:t>Lançar</a:t>
            </a:r>
          </a:p>
        </xdr:txBody>
      </xdr:sp>
    </xdr:grpSp>
    <xdr:clientData/>
  </xdr:twoCellAnchor>
  <xdr:twoCellAnchor editAs="absolute">
    <xdr:from>
      <xdr:col>2</xdr:col>
      <xdr:colOff>281940</xdr:colOff>
      <xdr:row>4</xdr:row>
      <xdr:rowOff>16195</xdr:rowOff>
    </xdr:from>
    <xdr:to>
      <xdr:col>3</xdr:col>
      <xdr:colOff>324863</xdr:colOff>
      <xdr:row>5</xdr:row>
      <xdr:rowOff>59729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369EA81C-59F2-B307-BF2C-5A68576A4704}"/>
            </a:ext>
          </a:extLst>
        </xdr:cNvPr>
        <xdr:cNvGrpSpPr/>
      </xdr:nvGrpSpPr>
      <xdr:grpSpPr>
        <a:xfrm>
          <a:off x="1200150" y="924880"/>
          <a:ext cx="768728" cy="216889"/>
          <a:chOff x="1170747" y="919828"/>
          <a:chExt cx="745702" cy="233205"/>
        </a:xfrm>
      </xdr:grpSpPr>
      <xdr:sp macro="[0]!insere_contas_fut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311CD3E1-AB90-4997-7117-0A913064DA8F}"/>
              </a:ext>
            </a:extLst>
          </xdr:cNvPr>
          <xdr:cNvSpPr/>
        </xdr:nvSpPr>
        <xdr:spPr>
          <a:xfrm>
            <a:off x="1170747" y="941733"/>
            <a:ext cx="721529" cy="186371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nsere_contas_fut">
        <xdr:nvPicPr>
          <xdr:cNvPr id="4" name="Gráfico 3" descr="Servidor com preenchimento sólido">
            <a:extLst>
              <a:ext uri="{FF2B5EF4-FFF2-40B4-BE49-F238E27FC236}">
                <a16:creationId xmlns:a16="http://schemas.microsoft.com/office/drawing/2014/main" id="{8B0B0E98-50B3-41BD-8922-CBAE5DA61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30381" y="979833"/>
            <a:ext cx="131587" cy="127455"/>
          </a:xfrm>
          <a:prstGeom prst="rect">
            <a:avLst/>
          </a:prstGeom>
        </xdr:spPr>
      </xdr:pic>
      <xdr:sp macro="[0]!insere_contas_fut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6778ED9-C88F-A70B-B0F2-8190BD5281B1}"/>
              </a:ext>
            </a:extLst>
          </xdr:cNvPr>
          <xdr:cNvSpPr txBox="1"/>
        </xdr:nvSpPr>
        <xdr:spPr>
          <a:xfrm>
            <a:off x="1287687" y="919828"/>
            <a:ext cx="628762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900" b="0">
                <a:solidFill>
                  <a:schemeClr val="tx1"/>
                </a:solidFill>
              </a:rPr>
              <a:t>Múltiplos</a:t>
            </a:r>
          </a:p>
        </xdr:txBody>
      </xdr:sp>
    </xdr:grpSp>
    <xdr:clientData/>
  </xdr:twoCellAnchor>
  <xdr:twoCellAnchor editAs="absolute">
    <xdr:from>
      <xdr:col>3</xdr:col>
      <xdr:colOff>914400</xdr:colOff>
      <xdr:row>4</xdr:row>
      <xdr:rowOff>19508</xdr:rowOff>
    </xdr:from>
    <xdr:to>
      <xdr:col>3</xdr:col>
      <xdr:colOff>1656458</xdr:colOff>
      <xdr:row>5</xdr:row>
      <xdr:rowOff>60207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31C4290D-4B7C-2E02-60FE-C50EA7D7654D}"/>
            </a:ext>
          </a:extLst>
        </xdr:cNvPr>
        <xdr:cNvGrpSpPr/>
      </xdr:nvGrpSpPr>
      <xdr:grpSpPr>
        <a:xfrm>
          <a:off x="2562225" y="920573"/>
          <a:ext cx="745868" cy="221674"/>
          <a:chOff x="2528637" y="924884"/>
          <a:chExt cx="753488" cy="233205"/>
        </a:xfrm>
      </xdr:grpSpPr>
      <xdr:sp macro="[0]!ordenar" textlink="">
        <xdr:nvSpPr>
          <xdr:cNvPr id="29" name="Retângulo: Cantos Arredondados 28">
            <a:extLst>
              <a:ext uri="{FF2B5EF4-FFF2-40B4-BE49-F238E27FC236}">
                <a16:creationId xmlns:a16="http://schemas.microsoft.com/office/drawing/2014/main" id="{75539597-1572-6F32-8C57-CBC51C0C16E2}"/>
              </a:ext>
            </a:extLst>
          </xdr:cNvPr>
          <xdr:cNvSpPr/>
        </xdr:nvSpPr>
        <xdr:spPr>
          <a:xfrm>
            <a:off x="2528637" y="943476"/>
            <a:ext cx="723600" cy="189206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ordenar" textlink="">
        <xdr:nvSpPr>
          <xdr:cNvPr id="5" name="Seta: para Cima 4">
            <a:extLst>
              <a:ext uri="{FF2B5EF4-FFF2-40B4-BE49-F238E27FC236}">
                <a16:creationId xmlns:a16="http://schemas.microsoft.com/office/drawing/2014/main" id="{4A84F167-0B0A-4D84-9715-A109C15D6479}"/>
              </a:ext>
            </a:extLst>
          </xdr:cNvPr>
          <xdr:cNvSpPr/>
        </xdr:nvSpPr>
        <xdr:spPr>
          <a:xfrm>
            <a:off x="2595312" y="991101"/>
            <a:ext cx="89020" cy="110836"/>
          </a:xfrm>
          <a:prstGeom prst="upArrow">
            <a:avLst>
              <a:gd name="adj1" fmla="val 26304"/>
              <a:gd name="adj2" fmla="val 52618"/>
            </a:avLst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ordenar" textlink="">
        <xdr:nvSpPr>
          <xdr:cNvPr id="6" name="Seta: para Cima 5">
            <a:extLst>
              <a:ext uri="{FF2B5EF4-FFF2-40B4-BE49-F238E27FC236}">
                <a16:creationId xmlns:a16="http://schemas.microsoft.com/office/drawing/2014/main" id="{97F78783-4A7E-4054-ADE7-E83D410B9549}"/>
              </a:ext>
            </a:extLst>
          </xdr:cNvPr>
          <xdr:cNvSpPr/>
        </xdr:nvSpPr>
        <xdr:spPr>
          <a:xfrm flipV="1">
            <a:off x="2674005" y="998168"/>
            <a:ext cx="85960" cy="108009"/>
          </a:xfrm>
          <a:prstGeom prst="upArrow">
            <a:avLst>
              <a:gd name="adj1" fmla="val 24038"/>
              <a:gd name="adj2" fmla="val 49207"/>
            </a:avLst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ordenar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60C5DE85-FE50-A842-F3E2-076D35C3764B}"/>
              </a:ext>
            </a:extLst>
          </xdr:cNvPr>
          <xdr:cNvSpPr txBox="1"/>
        </xdr:nvSpPr>
        <xdr:spPr>
          <a:xfrm>
            <a:off x="2706455" y="924884"/>
            <a:ext cx="575670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900" b="0">
                <a:solidFill>
                  <a:schemeClr val="tx1"/>
                </a:solidFill>
              </a:rPr>
              <a:t>Ordenar</a:t>
            </a:r>
          </a:p>
        </xdr:txBody>
      </xdr:sp>
    </xdr:grpSp>
    <xdr:clientData/>
  </xdr:twoCellAnchor>
  <xdr:twoCellAnchor editAs="absolute">
    <xdr:from>
      <xdr:col>3</xdr:col>
      <xdr:colOff>1844040</xdr:colOff>
      <xdr:row>4</xdr:row>
      <xdr:rowOff>22821</xdr:rowOff>
    </xdr:from>
    <xdr:to>
      <xdr:col>3</xdr:col>
      <xdr:colOff>2573355</xdr:colOff>
      <xdr:row>5</xdr:row>
      <xdr:rowOff>55900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5E47455-AF1F-5063-022B-A3FBC0A01448}"/>
            </a:ext>
          </a:extLst>
        </xdr:cNvPr>
        <xdr:cNvGrpSpPr/>
      </xdr:nvGrpSpPr>
      <xdr:grpSpPr>
        <a:xfrm>
          <a:off x="3495675" y="923886"/>
          <a:ext cx="721695" cy="221674"/>
          <a:chOff x="3452562" y="928197"/>
          <a:chExt cx="723600" cy="233205"/>
        </a:xfrm>
      </xdr:grpSpPr>
      <xdr:sp macro="[0]!ExcluirLinhasTabel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E1CF5F29-D159-807E-0038-99AEFB782A1C}"/>
              </a:ext>
            </a:extLst>
          </xdr:cNvPr>
          <xdr:cNvSpPr/>
        </xdr:nvSpPr>
        <xdr:spPr>
          <a:xfrm>
            <a:off x="3452562" y="943476"/>
            <a:ext cx="723600" cy="189206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ExcluirLinhasTabela">
        <xdr:nvPicPr>
          <xdr:cNvPr id="7" name="Gráfico 6" descr="Lixo com preenchimento sólido">
            <a:extLst>
              <a:ext uri="{FF2B5EF4-FFF2-40B4-BE49-F238E27FC236}">
                <a16:creationId xmlns:a16="http://schemas.microsoft.com/office/drawing/2014/main" id="{3BB88B29-0EC9-455C-8BE4-543D3111D7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3516753" y="963768"/>
            <a:ext cx="143999" cy="145807"/>
          </a:xfrm>
          <a:prstGeom prst="rect">
            <a:avLst/>
          </a:prstGeom>
        </xdr:spPr>
      </xdr:pic>
      <xdr:sp macro="[0]!ExcluirLinhasTabela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5B3D9038-D168-3783-8A5F-34967EE1BA88}"/>
              </a:ext>
            </a:extLst>
          </xdr:cNvPr>
          <xdr:cNvSpPr txBox="1"/>
        </xdr:nvSpPr>
        <xdr:spPr>
          <a:xfrm>
            <a:off x="3639907" y="928197"/>
            <a:ext cx="49372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900" b="0">
                <a:solidFill>
                  <a:schemeClr val="tx1"/>
                </a:solidFill>
              </a:rPr>
              <a:t>Excluir</a:t>
            </a:r>
          </a:p>
        </xdr:txBody>
      </xdr:sp>
    </xdr:grpSp>
    <xdr:clientData/>
  </xdr:twoCellAnchor>
  <xdr:twoCellAnchor editAs="absolute">
    <xdr:from>
      <xdr:col>3</xdr:col>
      <xdr:colOff>3179445</xdr:colOff>
      <xdr:row>4</xdr:row>
      <xdr:rowOff>17852</xdr:rowOff>
    </xdr:from>
    <xdr:to>
      <xdr:col>4</xdr:col>
      <xdr:colOff>533100</xdr:colOff>
      <xdr:row>5</xdr:row>
      <xdr:rowOff>58551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1EBE693-0511-9355-D7CC-B7997C7CD289}"/>
            </a:ext>
          </a:extLst>
        </xdr:cNvPr>
        <xdr:cNvGrpSpPr/>
      </xdr:nvGrpSpPr>
      <xdr:grpSpPr>
        <a:xfrm>
          <a:off x="4831080" y="926537"/>
          <a:ext cx="826470" cy="214054"/>
          <a:chOff x="4805112" y="923228"/>
          <a:chExt cx="726106" cy="233205"/>
        </a:xfrm>
      </xdr:grpSpPr>
      <xdr:sp macro="[0]!pagamento_fatura_cartao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E24E51AA-AB07-4E11-62CB-7DD8D3DEE3DF}"/>
              </a:ext>
            </a:extLst>
          </xdr:cNvPr>
          <xdr:cNvSpPr/>
        </xdr:nvSpPr>
        <xdr:spPr>
          <a:xfrm>
            <a:off x="4805112" y="943476"/>
            <a:ext cx="726106" cy="189206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pagamento_fatura_cartao">
        <xdr:nvPicPr>
          <xdr:cNvPr id="8" name="Gráfico 7" descr="Cartão de crédito com preenchimento sólido">
            <a:extLst>
              <a:ext uri="{FF2B5EF4-FFF2-40B4-BE49-F238E27FC236}">
                <a16:creationId xmlns:a16="http://schemas.microsoft.com/office/drawing/2014/main" id="{A8387DA5-82BC-469C-99A4-11BA28E8EF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4888353" y="963768"/>
            <a:ext cx="163944" cy="157089"/>
          </a:xfrm>
          <a:prstGeom prst="rect">
            <a:avLst/>
          </a:prstGeom>
        </xdr:spPr>
      </xdr:pic>
      <xdr:sp macro="[0]!pagamento_fatura_cartao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F1730B-062D-950E-5353-8BE67CA022BF}"/>
              </a:ext>
            </a:extLst>
          </xdr:cNvPr>
          <xdr:cNvSpPr txBox="1"/>
        </xdr:nvSpPr>
        <xdr:spPr>
          <a:xfrm>
            <a:off x="5045075" y="923228"/>
            <a:ext cx="449418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900" b="0">
                <a:solidFill>
                  <a:schemeClr val="tx1"/>
                </a:solidFill>
              </a:rPr>
              <a:t>Pagar</a:t>
            </a:r>
          </a:p>
        </xdr:txBody>
      </xdr:sp>
    </xdr:grpSp>
    <xdr:clientData/>
  </xdr:twoCellAnchor>
  <xdr:twoCellAnchor editAs="absolute">
    <xdr:from>
      <xdr:col>4</xdr:col>
      <xdr:colOff>762000</xdr:colOff>
      <xdr:row>4</xdr:row>
      <xdr:rowOff>21165</xdr:rowOff>
    </xdr:from>
    <xdr:to>
      <xdr:col>5</xdr:col>
      <xdr:colOff>304500</xdr:colOff>
      <xdr:row>5</xdr:row>
      <xdr:rowOff>54244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19B0A2ED-63D9-1929-B4BA-52B9CE7F93E9}"/>
            </a:ext>
          </a:extLst>
        </xdr:cNvPr>
        <xdr:cNvGrpSpPr/>
      </xdr:nvGrpSpPr>
      <xdr:grpSpPr>
        <a:xfrm>
          <a:off x="5886450" y="922230"/>
          <a:ext cx="752175" cy="221674"/>
          <a:chOff x="5760118" y="926541"/>
          <a:chExt cx="725606" cy="233205"/>
        </a:xfrm>
      </xdr:grpSpPr>
      <xdr:sp macro="[0]!transf_contas_banco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8B711D35-EBB0-94FC-10FC-2656465A5163}"/>
              </a:ext>
            </a:extLst>
          </xdr:cNvPr>
          <xdr:cNvSpPr/>
        </xdr:nvSpPr>
        <xdr:spPr>
          <a:xfrm>
            <a:off x="5760118" y="943476"/>
            <a:ext cx="725606" cy="189206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transf_contas_banco">
        <xdr:nvPicPr>
          <xdr:cNvPr id="9" name="Gráfico 8" descr="Transferência com preenchimento sólido">
            <a:extLst>
              <a:ext uri="{FF2B5EF4-FFF2-40B4-BE49-F238E27FC236}">
                <a16:creationId xmlns:a16="http://schemas.microsoft.com/office/drawing/2014/main" id="{1EEEF3B0-8EA5-4378-B2F7-767E293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 flipH="1">
            <a:off x="5826793" y="954243"/>
            <a:ext cx="174795" cy="176390"/>
          </a:xfrm>
          <a:prstGeom prst="rect">
            <a:avLst/>
          </a:prstGeom>
        </xdr:spPr>
      </xdr:pic>
      <xdr:sp macro="[0]!transf_contas_banco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252F6CEC-30BC-393F-2908-A072E350D639}"/>
              </a:ext>
            </a:extLst>
          </xdr:cNvPr>
          <xdr:cNvSpPr txBox="1"/>
        </xdr:nvSpPr>
        <xdr:spPr>
          <a:xfrm>
            <a:off x="5992604" y="926541"/>
            <a:ext cx="477438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900" b="0">
                <a:solidFill>
                  <a:schemeClr val="tx1"/>
                </a:solidFill>
              </a:rPr>
              <a:t>Transf</a:t>
            </a:r>
          </a:p>
        </xdr:txBody>
      </xdr:sp>
    </xdr:grpSp>
    <xdr:clientData/>
  </xdr:twoCellAnchor>
  <xdr:twoCellAnchor editAs="absolute">
    <xdr:from>
      <xdr:col>5</xdr:col>
      <xdr:colOff>476250</xdr:colOff>
      <xdr:row>4</xdr:row>
      <xdr:rowOff>16195</xdr:rowOff>
    </xdr:from>
    <xdr:to>
      <xdr:col>5</xdr:col>
      <xdr:colOff>1235986</xdr:colOff>
      <xdr:row>5</xdr:row>
      <xdr:rowOff>56894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2C20296-1E4B-986F-151C-282B28DE089A}"/>
            </a:ext>
          </a:extLst>
        </xdr:cNvPr>
        <xdr:cNvGrpSpPr/>
      </xdr:nvGrpSpPr>
      <xdr:grpSpPr>
        <a:xfrm>
          <a:off x="6806565" y="924880"/>
          <a:ext cx="767356" cy="221674"/>
          <a:chOff x="6657474" y="921571"/>
          <a:chExt cx="767356" cy="233205"/>
        </a:xfrm>
      </xdr:grpSpPr>
      <xdr:sp macro="[0]!importa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33E3354A-28A2-208A-FF6C-08845CA71C44}"/>
              </a:ext>
            </a:extLst>
          </xdr:cNvPr>
          <xdr:cNvSpPr/>
        </xdr:nvSpPr>
        <xdr:spPr>
          <a:xfrm>
            <a:off x="6657474" y="943476"/>
            <a:ext cx="723600" cy="189206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mportar">
        <xdr:nvPicPr>
          <xdr:cNvPr id="10" name="Gráfico 9" descr="Pesquisa de Pasta com preenchimento sólido">
            <a:extLst>
              <a:ext uri="{FF2B5EF4-FFF2-40B4-BE49-F238E27FC236}">
                <a16:creationId xmlns:a16="http://schemas.microsoft.com/office/drawing/2014/main" id="{A3BE399C-9537-4A19-BA71-FC4F6E4B67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714624" y="953001"/>
            <a:ext cx="176972" cy="181202"/>
          </a:xfrm>
          <a:prstGeom prst="rect">
            <a:avLst/>
          </a:prstGeom>
        </xdr:spPr>
      </xdr:pic>
      <xdr:sp macro="[0]!importar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1FC69A1-1680-89D1-6172-743B23E1C09A}"/>
              </a:ext>
            </a:extLst>
          </xdr:cNvPr>
          <xdr:cNvSpPr txBox="1"/>
        </xdr:nvSpPr>
        <xdr:spPr>
          <a:xfrm>
            <a:off x="6822870" y="921571"/>
            <a:ext cx="601960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900" b="0">
                <a:solidFill>
                  <a:schemeClr val="tx1"/>
                </a:solidFill>
              </a:rPr>
              <a:t>Importar</a:t>
            </a:r>
          </a:p>
        </xdr:txBody>
      </xdr:sp>
    </xdr:grpSp>
    <xdr:clientData/>
  </xdr:twoCellAnchor>
  <xdr:twoCellAnchor editAs="absolute">
    <xdr:from>
      <xdr:col>3</xdr:col>
      <xdr:colOff>1729740</xdr:colOff>
      <xdr:row>0</xdr:row>
      <xdr:rowOff>53340</xdr:rowOff>
    </xdr:from>
    <xdr:to>
      <xdr:col>3</xdr:col>
      <xdr:colOff>2074545</xdr:colOff>
      <xdr:row>0</xdr:row>
      <xdr:rowOff>381000</xdr:rowOff>
    </xdr:to>
    <xdr:sp macro="" textlink="">
      <xdr:nvSpPr>
        <xdr:cNvPr id="41" name="Configuraçõ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B1F099D-4727-4103-B748-7DAC99E1C285}"/>
            </a:ext>
          </a:extLst>
        </xdr:cNvPr>
        <xdr:cNvSpPr/>
      </xdr:nvSpPr>
      <xdr:spPr>
        <a:xfrm>
          <a:off x="333946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1273175</xdr:colOff>
      <xdr:row>0</xdr:row>
      <xdr:rowOff>53340</xdr:rowOff>
    </xdr:from>
    <xdr:to>
      <xdr:col>3</xdr:col>
      <xdr:colOff>1617980</xdr:colOff>
      <xdr:row>0</xdr:row>
      <xdr:rowOff>381000</xdr:rowOff>
    </xdr:to>
    <xdr:sp macro="" textlink="">
      <xdr:nvSpPr>
        <xdr:cNvPr id="42" name="Registros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B4FCFDCA-7F6D-442D-900A-479752373F1E}"/>
            </a:ext>
          </a:extLst>
        </xdr:cNvPr>
        <xdr:cNvSpPr/>
      </xdr:nvSpPr>
      <xdr:spPr>
        <a:xfrm>
          <a:off x="288290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797560</xdr:colOff>
      <xdr:row>0</xdr:row>
      <xdr:rowOff>53340</xdr:rowOff>
    </xdr:from>
    <xdr:to>
      <xdr:col>3</xdr:col>
      <xdr:colOff>1159510</xdr:colOff>
      <xdr:row>0</xdr:row>
      <xdr:rowOff>381000</xdr:rowOff>
    </xdr:to>
    <xdr:sp macro="" textlink="">
      <xdr:nvSpPr>
        <xdr:cNvPr id="43" name="Projeto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2B21D2C-E7A5-440F-9177-E64159119128}"/>
            </a:ext>
          </a:extLst>
        </xdr:cNvPr>
        <xdr:cNvSpPr/>
      </xdr:nvSpPr>
      <xdr:spPr>
        <a:xfrm>
          <a:off x="240728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361950</xdr:colOff>
      <xdr:row>0</xdr:row>
      <xdr:rowOff>53340</xdr:rowOff>
    </xdr:from>
    <xdr:to>
      <xdr:col>3</xdr:col>
      <xdr:colOff>702945</xdr:colOff>
      <xdr:row>0</xdr:row>
      <xdr:rowOff>381000</xdr:rowOff>
    </xdr:to>
    <xdr:sp macro="" textlink="">
      <xdr:nvSpPr>
        <xdr:cNvPr id="44" name="Patrimônio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D123F09-5ED1-4F77-B3F6-ED9643EA7517}"/>
            </a:ext>
          </a:extLst>
        </xdr:cNvPr>
        <xdr:cNvSpPr/>
      </xdr:nvSpPr>
      <xdr:spPr>
        <a:xfrm>
          <a:off x="196024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629285</xdr:colOff>
      <xdr:row>0</xdr:row>
      <xdr:rowOff>53340</xdr:rowOff>
    </xdr:from>
    <xdr:to>
      <xdr:col>3</xdr:col>
      <xdr:colOff>250190</xdr:colOff>
      <xdr:row>0</xdr:row>
      <xdr:rowOff>381000</xdr:rowOff>
    </xdr:to>
    <xdr:sp macro="" textlink="">
      <xdr:nvSpPr>
        <xdr:cNvPr id="45" name="Lançamento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5C5344-A82B-4961-9C35-F8604F33A0A5}"/>
            </a:ext>
          </a:extLst>
        </xdr:cNvPr>
        <xdr:cNvSpPr/>
      </xdr:nvSpPr>
      <xdr:spPr>
        <a:xfrm>
          <a:off x="151320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170815</xdr:colOff>
      <xdr:row>0</xdr:row>
      <xdr:rowOff>53340</xdr:rowOff>
    </xdr:from>
    <xdr:to>
      <xdr:col>2</xdr:col>
      <xdr:colOff>517525</xdr:colOff>
      <xdr:row>0</xdr:row>
      <xdr:rowOff>381000</xdr:rowOff>
    </xdr:to>
    <xdr:sp macro="" textlink="">
      <xdr:nvSpPr>
        <xdr:cNvPr id="46" name="Fluxo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F72A41F-72BF-403F-B2AE-9DEA12C76918}"/>
            </a:ext>
          </a:extLst>
        </xdr:cNvPr>
        <xdr:cNvSpPr/>
      </xdr:nvSpPr>
      <xdr:spPr>
        <a:xfrm>
          <a:off x="106616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438150</xdr:colOff>
      <xdr:row>0</xdr:row>
      <xdr:rowOff>53340</xdr:rowOff>
    </xdr:from>
    <xdr:to>
      <xdr:col>2</xdr:col>
      <xdr:colOff>76200</xdr:colOff>
      <xdr:row>0</xdr:row>
      <xdr:rowOff>381000</xdr:rowOff>
    </xdr:to>
    <xdr:sp macro="" textlink="">
      <xdr:nvSpPr>
        <xdr:cNvPr id="47" name="Dash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683EB14-DD2D-400B-BC73-36AB476E0D58}"/>
            </a:ext>
          </a:extLst>
        </xdr:cNvPr>
        <xdr:cNvSpPr/>
      </xdr:nvSpPr>
      <xdr:spPr>
        <a:xfrm>
          <a:off x="61912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1122045</xdr:colOff>
      <xdr:row>0</xdr:row>
      <xdr:rowOff>167640</xdr:rowOff>
    </xdr:from>
    <xdr:to>
      <xdr:col>8</xdr:col>
      <xdr:colOff>2456115</xdr:colOff>
      <xdr:row>0</xdr:row>
      <xdr:rowOff>438292</xdr:rowOff>
    </xdr:to>
    <xdr:grpSp>
      <xdr:nvGrpSpPr>
        <xdr:cNvPr id="13" name="Macros">
          <a:extLst>
            <a:ext uri="{FF2B5EF4-FFF2-40B4-BE49-F238E27FC236}">
              <a16:creationId xmlns:a16="http://schemas.microsoft.com/office/drawing/2014/main" id="{954BED18-8139-4CBE-9533-F30A0EA515C2}"/>
            </a:ext>
          </a:extLst>
        </xdr:cNvPr>
        <xdr:cNvGrpSpPr/>
      </xdr:nvGrpSpPr>
      <xdr:grpSpPr>
        <a:xfrm>
          <a:off x="10679430" y="171450"/>
          <a:ext cx="1334070" cy="263032"/>
          <a:chOff x="10424013" y="142875"/>
          <a:chExt cx="1319710" cy="276367"/>
        </a:xfrm>
      </xdr:grpSpPr>
      <xdr:sp macro="" textlink="">
        <xdr:nvSpPr>
          <xdr:cNvPr id="14" name="Manual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4D18265E-EADF-D0E6-CCAB-7F9F83001653}"/>
              </a:ext>
            </a:extLst>
          </xdr:cNvPr>
          <xdr:cNvSpPr/>
        </xdr:nvSpPr>
        <xdr:spPr>
          <a:xfrm>
            <a:off x="11479555" y="143345"/>
            <a:ext cx="264168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inimizar" textlink="">
        <xdr:nvSpPr>
          <xdr:cNvPr id="15" name="Minimizar">
            <a:extLst>
              <a:ext uri="{FF2B5EF4-FFF2-40B4-BE49-F238E27FC236}">
                <a16:creationId xmlns:a16="http://schemas.microsoft.com/office/drawing/2014/main" id="{97546653-4387-87FB-9E44-7F993176CB7A}"/>
              </a:ext>
            </a:extLst>
          </xdr:cNvPr>
          <xdr:cNvSpPr/>
        </xdr:nvSpPr>
        <xdr:spPr>
          <a:xfrm>
            <a:off x="11150756" y="143345"/>
            <a:ext cx="268014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ximizar" textlink="">
        <xdr:nvSpPr>
          <xdr:cNvPr id="16" name="Ampliar">
            <a:extLst>
              <a:ext uri="{FF2B5EF4-FFF2-40B4-BE49-F238E27FC236}">
                <a16:creationId xmlns:a16="http://schemas.microsoft.com/office/drawing/2014/main" id="{F50F93D9-B74D-8455-689A-D90639B254D8}"/>
              </a:ext>
            </a:extLst>
          </xdr:cNvPr>
          <xdr:cNvSpPr/>
        </xdr:nvSpPr>
        <xdr:spPr>
          <a:xfrm>
            <a:off x="10788992" y="146938"/>
            <a:ext cx="272405" cy="272304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17" name="Atualizar">
            <a:extLst>
              <a:ext uri="{FF2B5EF4-FFF2-40B4-BE49-F238E27FC236}">
                <a16:creationId xmlns:a16="http://schemas.microsoft.com/office/drawing/2014/main" id="{9D4524AF-093C-DA52-A729-9D8C1A5BEC97}"/>
              </a:ext>
            </a:extLst>
          </xdr:cNvPr>
          <xdr:cNvSpPr/>
        </xdr:nvSpPr>
        <xdr:spPr>
          <a:xfrm>
            <a:off x="10424013" y="142875"/>
            <a:ext cx="285145" cy="27636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absolute">
    <xdr:from>
      <xdr:col>6</xdr:col>
      <xdr:colOff>474345</xdr:colOff>
      <xdr:row>0</xdr:row>
      <xdr:rowOff>93345</xdr:rowOff>
    </xdr:from>
    <xdr:to>
      <xdr:col>8</xdr:col>
      <xdr:colOff>131445</xdr:colOff>
      <xdr:row>4</xdr:row>
      <xdr:rowOff>93346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8" name="Status">
              <a:extLst>
                <a:ext uri="{FF2B5EF4-FFF2-40B4-BE49-F238E27FC236}">
                  <a16:creationId xmlns:a16="http://schemas.microsoft.com/office/drawing/2014/main" id="{5D3F7CBB-53B1-E13B-1A31-1612709A2F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104775"/>
              <a:ext cx="1362075" cy="9048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8</xdr:col>
      <xdr:colOff>699923</xdr:colOff>
      <xdr:row>0</xdr:row>
      <xdr:rowOff>518948</xdr:rowOff>
    </xdr:from>
    <xdr:to>
      <xdr:col>8</xdr:col>
      <xdr:colOff>2385848</xdr:colOff>
      <xdr:row>3</xdr:row>
      <xdr:rowOff>319908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388C4C44-008B-4C7C-8510-EA7A65410D28}"/>
            </a:ext>
          </a:extLst>
        </xdr:cNvPr>
        <xdr:cNvSpPr txBox="1"/>
      </xdr:nvSpPr>
      <xdr:spPr>
        <a:xfrm>
          <a:off x="10008147" y="518948"/>
          <a:ext cx="1685925" cy="3790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>
              <a:solidFill>
                <a:schemeClr val="bg1">
                  <a:lumMod val="90000"/>
                </a:schemeClr>
              </a:solidFill>
            </a:rPr>
            <a:t>Sempre que fizer um lançamento, clicar no menu Atualizar</a:t>
          </a:r>
          <a:endParaRPr lang="pt-BR" sz="800" i="1">
            <a:solidFill>
              <a:schemeClr val="bg1">
                <a:lumMod val="9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15</xdr:col>
      <xdr:colOff>679458</xdr:colOff>
      <xdr:row>1</xdr:row>
      <xdr:rowOff>0</xdr:rowOff>
    </xdr:to>
    <xdr:pic>
      <xdr:nvPicPr>
        <xdr:cNvPr id="2" name="Patrimonio">
          <a:extLst>
            <a:ext uri="{FF2B5EF4-FFF2-40B4-BE49-F238E27FC236}">
              <a16:creationId xmlns:a16="http://schemas.microsoft.com/office/drawing/2014/main" id="{2AC314CD-31DF-4905-99DA-64B5FE3FA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95208" cy="581025"/>
        </a:xfrm>
        <a:prstGeom prst="rect">
          <a:avLst/>
        </a:prstGeom>
      </xdr:spPr>
    </xdr:pic>
    <xdr:clientData/>
  </xdr:twoCellAnchor>
  <xdr:twoCellAnchor editAs="absolute">
    <xdr:from>
      <xdr:col>1</xdr:col>
      <xdr:colOff>390524</xdr:colOff>
      <xdr:row>2</xdr:row>
      <xdr:rowOff>66675</xdr:rowOff>
    </xdr:from>
    <xdr:to>
      <xdr:col>5</xdr:col>
      <xdr:colOff>590099</xdr:colOff>
      <xdr:row>4</xdr:row>
      <xdr:rowOff>110475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23EC99A-78BA-247E-EE77-ED03F2501D0D}"/>
            </a:ext>
          </a:extLst>
        </xdr:cNvPr>
        <xdr:cNvSpPr/>
      </xdr:nvSpPr>
      <xdr:spPr>
        <a:xfrm>
          <a:off x="504824" y="838200"/>
          <a:ext cx="3600000" cy="42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APLICAÇÕES / ATIVOS FINANCEIROS</a:t>
          </a:r>
        </a:p>
      </xdr:txBody>
    </xdr:sp>
    <xdr:clientData/>
  </xdr:twoCellAnchor>
  <xdr:twoCellAnchor editAs="absolute">
    <xdr:from>
      <xdr:col>7</xdr:col>
      <xdr:colOff>161924</xdr:colOff>
      <xdr:row>2</xdr:row>
      <xdr:rowOff>66675</xdr:rowOff>
    </xdr:from>
    <xdr:to>
      <xdr:col>10</xdr:col>
      <xdr:colOff>628199</xdr:colOff>
      <xdr:row>4</xdr:row>
      <xdr:rowOff>110475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B2C0614-0A45-95FB-6AAC-444B0C8718DF}"/>
            </a:ext>
          </a:extLst>
        </xdr:cNvPr>
        <xdr:cNvSpPr/>
      </xdr:nvSpPr>
      <xdr:spPr>
        <a:xfrm>
          <a:off x="4505324" y="838200"/>
          <a:ext cx="3600000" cy="4248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FFFF"/>
              </a:solidFill>
            </a:rPr>
            <a:t>PATRIMÔNIO</a:t>
          </a:r>
          <a:r>
            <a:rPr lang="pt-BR" sz="1200" b="1" baseline="0">
              <a:solidFill>
                <a:srgbClr val="FFFFFF"/>
              </a:solidFill>
            </a:rPr>
            <a:t> / ATIVOS IMOBILIZADOS</a:t>
          </a:r>
          <a:endParaRPr lang="pt-BR" sz="1200" b="1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12</xdr:col>
      <xdr:colOff>314323</xdr:colOff>
      <xdr:row>2</xdr:row>
      <xdr:rowOff>66675</xdr:rowOff>
    </xdr:from>
    <xdr:to>
      <xdr:col>15</xdr:col>
      <xdr:colOff>580573</xdr:colOff>
      <xdr:row>4</xdr:row>
      <xdr:rowOff>110475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FF0A0B2-2F2C-7FEC-B8AF-A7AAD7003535}"/>
            </a:ext>
          </a:extLst>
        </xdr:cNvPr>
        <xdr:cNvSpPr/>
      </xdr:nvSpPr>
      <xdr:spPr>
        <a:xfrm>
          <a:off x="8696323" y="838200"/>
          <a:ext cx="3600000" cy="42480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1"/>
              </a:solidFill>
            </a:rPr>
            <a:t>DÍVIDAS</a:t>
          </a:r>
          <a:r>
            <a:rPr lang="pt-BR" sz="1200" b="1" baseline="0">
              <a:solidFill>
                <a:schemeClr val="tx1"/>
              </a:solidFill>
            </a:rPr>
            <a:t> / PASSIVOS FINANCEIROS</a:t>
          </a:r>
          <a:endParaRPr lang="pt-BR" sz="12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66675</xdr:colOff>
      <xdr:row>2</xdr:row>
      <xdr:rowOff>152400</xdr:rowOff>
    </xdr:from>
    <xdr:to>
      <xdr:col>6</xdr:col>
      <xdr:colOff>66675</xdr:colOff>
      <xdr:row>7</xdr:row>
      <xdr:rowOff>0</xdr:rowOff>
    </xdr:to>
    <xdr:cxnSp macro="">
      <xdr:nvCxnSpPr>
        <xdr:cNvPr id="17" name="Conector reto 16">
          <a:extLst>
            <a:ext uri="{FF2B5EF4-FFF2-40B4-BE49-F238E27FC236}">
              <a16:creationId xmlns:a16="http://schemas.microsoft.com/office/drawing/2014/main" id="{80F96C5F-1718-CAA8-DC49-7B27D3AE0273}"/>
            </a:ext>
          </a:extLst>
        </xdr:cNvPr>
        <xdr:cNvCxnSpPr/>
      </xdr:nvCxnSpPr>
      <xdr:spPr>
        <a:xfrm>
          <a:off x="4295775" y="923925"/>
          <a:ext cx="0" cy="1152525"/>
        </a:xfrm>
        <a:prstGeom prst="line">
          <a:avLst/>
        </a:prstGeom>
        <a:ln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57150</xdr:colOff>
      <xdr:row>2</xdr:row>
      <xdr:rowOff>142875</xdr:rowOff>
    </xdr:from>
    <xdr:to>
      <xdr:col>11</xdr:col>
      <xdr:colOff>57150</xdr:colOff>
      <xdr:row>6</xdr:row>
      <xdr:rowOff>409575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0F068F73-6106-5FEB-6FC6-763DD2BE7CA7}"/>
            </a:ext>
          </a:extLst>
        </xdr:cNvPr>
        <xdr:cNvCxnSpPr/>
      </xdr:nvCxnSpPr>
      <xdr:spPr>
        <a:xfrm>
          <a:off x="8324850" y="914400"/>
          <a:ext cx="0" cy="1152525"/>
        </a:xfrm>
        <a:prstGeom prst="line">
          <a:avLst/>
        </a:prstGeom>
        <a:ln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1434465</xdr:colOff>
      <xdr:row>0</xdr:row>
      <xdr:rowOff>47625</xdr:rowOff>
    </xdr:from>
    <xdr:to>
      <xdr:col>5</xdr:col>
      <xdr:colOff>186690</xdr:colOff>
      <xdr:row>0</xdr:row>
      <xdr:rowOff>381000</xdr:rowOff>
    </xdr:to>
    <xdr:sp macro="" textlink="">
      <xdr:nvSpPr>
        <xdr:cNvPr id="3" name="Configuraçõe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B983EE-F5B3-48F8-A373-D70EBE79C3B8}"/>
            </a:ext>
          </a:extLst>
        </xdr:cNvPr>
        <xdr:cNvSpPr/>
      </xdr:nvSpPr>
      <xdr:spPr>
        <a:xfrm>
          <a:off x="334899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977900</xdr:colOff>
      <xdr:row>0</xdr:row>
      <xdr:rowOff>47625</xdr:rowOff>
    </xdr:from>
    <xdr:to>
      <xdr:col>4</xdr:col>
      <xdr:colOff>1330325</xdr:colOff>
      <xdr:row>0</xdr:row>
      <xdr:rowOff>381000</xdr:rowOff>
    </xdr:to>
    <xdr:sp macro="" textlink="">
      <xdr:nvSpPr>
        <xdr:cNvPr id="4" name="Registro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FFFD38D-5994-4A20-A78D-73B00B19B89C}"/>
            </a:ext>
          </a:extLst>
        </xdr:cNvPr>
        <xdr:cNvSpPr/>
      </xdr:nvSpPr>
      <xdr:spPr>
        <a:xfrm>
          <a:off x="289242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502285</xdr:colOff>
      <xdr:row>0</xdr:row>
      <xdr:rowOff>47625</xdr:rowOff>
    </xdr:from>
    <xdr:to>
      <xdr:col>4</xdr:col>
      <xdr:colOff>854710</xdr:colOff>
      <xdr:row>0</xdr:row>
      <xdr:rowOff>381000</xdr:rowOff>
    </xdr:to>
    <xdr:sp macro="" textlink="">
      <xdr:nvSpPr>
        <xdr:cNvPr id="5" name="Projeto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1E88866-75AC-4F03-8BF4-3662775FB39F}"/>
            </a:ext>
          </a:extLst>
        </xdr:cNvPr>
        <xdr:cNvSpPr/>
      </xdr:nvSpPr>
      <xdr:spPr>
        <a:xfrm>
          <a:off x="241681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55245</xdr:colOff>
      <xdr:row>0</xdr:row>
      <xdr:rowOff>47625</xdr:rowOff>
    </xdr:from>
    <xdr:to>
      <xdr:col>4</xdr:col>
      <xdr:colOff>407670</xdr:colOff>
      <xdr:row>0</xdr:row>
      <xdr:rowOff>381000</xdr:rowOff>
    </xdr:to>
    <xdr:sp macro="" textlink="">
      <xdr:nvSpPr>
        <xdr:cNvPr id="6" name="Patrimôni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EF904F5-18E1-4D95-9D27-281D6806AC43}"/>
            </a:ext>
          </a:extLst>
        </xdr:cNvPr>
        <xdr:cNvSpPr/>
      </xdr:nvSpPr>
      <xdr:spPr>
        <a:xfrm>
          <a:off x="196977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179705</xdr:colOff>
      <xdr:row>0</xdr:row>
      <xdr:rowOff>47625</xdr:rowOff>
    </xdr:from>
    <xdr:to>
      <xdr:col>3</xdr:col>
      <xdr:colOff>532130</xdr:colOff>
      <xdr:row>0</xdr:row>
      <xdr:rowOff>381000</xdr:rowOff>
    </xdr:to>
    <xdr:sp macro="" textlink="">
      <xdr:nvSpPr>
        <xdr:cNvPr id="7" name="Lançament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C578943-A475-442D-A473-DAEFD259EE38}"/>
            </a:ext>
          </a:extLst>
        </xdr:cNvPr>
        <xdr:cNvSpPr/>
      </xdr:nvSpPr>
      <xdr:spPr>
        <a:xfrm>
          <a:off x="152273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180340</xdr:colOff>
      <xdr:row>0</xdr:row>
      <xdr:rowOff>47625</xdr:rowOff>
    </xdr:from>
    <xdr:to>
      <xdr:col>3</xdr:col>
      <xdr:colOff>85090</xdr:colOff>
      <xdr:row>0</xdr:row>
      <xdr:rowOff>381000</xdr:rowOff>
    </xdr:to>
    <xdr:sp macro="" textlink="">
      <xdr:nvSpPr>
        <xdr:cNvPr id="8" name="Flux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BCDC10E-B994-48DF-8CE6-02E943B022FC}"/>
            </a:ext>
          </a:extLst>
        </xdr:cNvPr>
        <xdr:cNvSpPr/>
      </xdr:nvSpPr>
      <xdr:spPr>
        <a:xfrm>
          <a:off x="107569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514350</xdr:colOff>
      <xdr:row>0</xdr:row>
      <xdr:rowOff>47625</xdr:rowOff>
    </xdr:from>
    <xdr:to>
      <xdr:col>2</xdr:col>
      <xdr:colOff>85725</xdr:colOff>
      <xdr:row>0</xdr:row>
      <xdr:rowOff>381000</xdr:rowOff>
    </xdr:to>
    <xdr:sp macro="" textlink="">
      <xdr:nvSpPr>
        <xdr:cNvPr id="9" name="Dash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A986DD7-29E0-4F12-858F-DD134FEA7E1C}"/>
            </a:ext>
          </a:extLst>
        </xdr:cNvPr>
        <xdr:cNvSpPr/>
      </xdr:nvSpPr>
      <xdr:spPr>
        <a:xfrm>
          <a:off x="62865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133350</xdr:colOff>
      <xdr:row>0</xdr:row>
      <xdr:rowOff>152400</xdr:rowOff>
    </xdr:from>
    <xdr:to>
      <xdr:col>15</xdr:col>
      <xdr:colOff>46290</xdr:colOff>
      <xdr:row>0</xdr:row>
      <xdr:rowOff>428767</xdr:rowOff>
    </xdr:to>
    <xdr:grpSp>
      <xdr:nvGrpSpPr>
        <xdr:cNvPr id="19" name="Macros">
          <a:extLst>
            <a:ext uri="{FF2B5EF4-FFF2-40B4-BE49-F238E27FC236}">
              <a16:creationId xmlns:a16="http://schemas.microsoft.com/office/drawing/2014/main" id="{0BC1BD90-CBDA-4C4F-A719-1C9B03FEC01D}"/>
            </a:ext>
          </a:extLst>
        </xdr:cNvPr>
        <xdr:cNvGrpSpPr/>
      </xdr:nvGrpSpPr>
      <xdr:grpSpPr>
        <a:xfrm>
          <a:off x="10717530" y="152400"/>
          <a:ext cx="1360740" cy="276367"/>
          <a:chOff x="10424013" y="142875"/>
          <a:chExt cx="1319710" cy="276367"/>
        </a:xfrm>
      </xdr:grpSpPr>
      <xdr:sp macro="" textlink="">
        <xdr:nvSpPr>
          <xdr:cNvPr id="20" name="Manual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52CBDB1-4914-DA0F-3A65-0B51BEF9B54B}"/>
              </a:ext>
            </a:extLst>
          </xdr:cNvPr>
          <xdr:cNvSpPr/>
        </xdr:nvSpPr>
        <xdr:spPr>
          <a:xfrm>
            <a:off x="11479555" y="143345"/>
            <a:ext cx="264168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inimizar" textlink="">
        <xdr:nvSpPr>
          <xdr:cNvPr id="21" name="Minimizar">
            <a:extLst>
              <a:ext uri="{FF2B5EF4-FFF2-40B4-BE49-F238E27FC236}">
                <a16:creationId xmlns:a16="http://schemas.microsoft.com/office/drawing/2014/main" id="{998229F6-9300-CEB1-F69D-BC75FAA51156}"/>
              </a:ext>
            </a:extLst>
          </xdr:cNvPr>
          <xdr:cNvSpPr/>
        </xdr:nvSpPr>
        <xdr:spPr>
          <a:xfrm>
            <a:off x="11150756" y="143345"/>
            <a:ext cx="268014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ximizar" textlink="">
        <xdr:nvSpPr>
          <xdr:cNvPr id="22" name="Ampliar">
            <a:extLst>
              <a:ext uri="{FF2B5EF4-FFF2-40B4-BE49-F238E27FC236}">
                <a16:creationId xmlns:a16="http://schemas.microsoft.com/office/drawing/2014/main" id="{27BB5556-004B-2DFB-E7DE-37E90AAD4BF8}"/>
              </a:ext>
            </a:extLst>
          </xdr:cNvPr>
          <xdr:cNvSpPr/>
        </xdr:nvSpPr>
        <xdr:spPr>
          <a:xfrm>
            <a:off x="10788992" y="146938"/>
            <a:ext cx="272405" cy="272304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23" name="Atualizar">
            <a:extLst>
              <a:ext uri="{FF2B5EF4-FFF2-40B4-BE49-F238E27FC236}">
                <a16:creationId xmlns:a16="http://schemas.microsoft.com/office/drawing/2014/main" id="{A73C86F8-3CB9-3F79-1527-5E42AE16EC0C}"/>
              </a:ext>
            </a:extLst>
          </xdr:cNvPr>
          <xdr:cNvSpPr/>
        </xdr:nvSpPr>
        <xdr:spPr>
          <a:xfrm>
            <a:off x="10424013" y="142875"/>
            <a:ext cx="285145" cy="27636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593733</xdr:colOff>
      <xdr:row>1</xdr:row>
      <xdr:rowOff>0</xdr:rowOff>
    </xdr:to>
    <xdr:pic>
      <xdr:nvPicPr>
        <xdr:cNvPr id="2" name="Projeto">
          <a:extLst>
            <a:ext uri="{FF2B5EF4-FFF2-40B4-BE49-F238E27FC236}">
              <a16:creationId xmlns:a16="http://schemas.microsoft.com/office/drawing/2014/main" id="{EF6EFD50-71D0-4BB4-969B-DF369348B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95208" cy="581025"/>
        </a:xfrm>
        <a:prstGeom prst="rect">
          <a:avLst/>
        </a:prstGeom>
      </xdr:spPr>
    </xdr:pic>
    <xdr:clientData/>
  </xdr:twoCellAnchor>
  <xdr:twoCellAnchor editAs="absolute">
    <xdr:from>
      <xdr:col>7</xdr:col>
      <xdr:colOff>695324</xdr:colOff>
      <xdr:row>7</xdr:row>
      <xdr:rowOff>8004</xdr:rowOff>
    </xdr:from>
    <xdr:to>
      <xdr:col>8</xdr:col>
      <xdr:colOff>4462</xdr:colOff>
      <xdr:row>9</xdr:row>
      <xdr:rowOff>112060</xdr:rowOff>
    </xdr:to>
    <xdr:sp macro="" textlink="">
      <xdr:nvSpPr>
        <xdr:cNvPr id="3" name="Seta: Curva para a Esquerda 2">
          <a:extLst>
            <a:ext uri="{FF2B5EF4-FFF2-40B4-BE49-F238E27FC236}">
              <a16:creationId xmlns:a16="http://schemas.microsoft.com/office/drawing/2014/main" id="{5B489016-DEBC-4518-AEA7-280AFCA2E5EB}"/>
            </a:ext>
          </a:extLst>
        </xdr:cNvPr>
        <xdr:cNvSpPr/>
      </xdr:nvSpPr>
      <xdr:spPr>
        <a:xfrm flipH="1">
          <a:off x="6210219" y="1752920"/>
          <a:ext cx="353225" cy="488258"/>
        </a:xfrm>
        <a:prstGeom prst="curvedLeftArrow">
          <a:avLst>
            <a:gd name="adj1" fmla="val 25000"/>
            <a:gd name="adj2" fmla="val 55922"/>
            <a:gd name="adj3" fmla="val 37195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11</xdr:col>
      <xdr:colOff>133350</xdr:colOff>
      <xdr:row>4</xdr:row>
      <xdr:rowOff>19050</xdr:rowOff>
    </xdr:from>
    <xdr:to>
      <xdr:col>12</xdr:col>
      <xdr:colOff>304806</xdr:colOff>
      <xdr:row>6</xdr:row>
      <xdr:rowOff>76425</xdr:rowOff>
    </xdr:to>
    <xdr:sp macro="" textlink="">
      <xdr:nvSpPr>
        <xdr:cNvPr id="4" name="Texto Explicativo: Linha Dobrada Sem Borda 3">
          <a:extLst>
            <a:ext uri="{FF2B5EF4-FFF2-40B4-BE49-F238E27FC236}">
              <a16:creationId xmlns:a16="http://schemas.microsoft.com/office/drawing/2014/main" id="{3477D928-55F7-41DF-895C-3A7E25D88530}"/>
            </a:ext>
          </a:extLst>
        </xdr:cNvPr>
        <xdr:cNvSpPr/>
      </xdr:nvSpPr>
      <xdr:spPr>
        <a:xfrm flipH="1">
          <a:off x="9839325" y="1171575"/>
          <a:ext cx="1219206" cy="438375"/>
        </a:xfrm>
        <a:prstGeom prst="callout2">
          <a:avLst>
            <a:gd name="adj1" fmla="val 18750"/>
            <a:gd name="adj2" fmla="val -8333"/>
            <a:gd name="adj3" fmla="val 18750"/>
            <a:gd name="adj4" fmla="val -16667"/>
            <a:gd name="adj5" fmla="val 159749"/>
            <a:gd name="adj6" fmla="val -46655"/>
          </a:avLst>
        </a:prstGeom>
        <a:solidFill>
          <a:schemeClr val="accent2"/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chemeClr val="accent6"/>
              </a:solidFill>
            </a:rPr>
            <a:t>Definir no</a:t>
          </a:r>
          <a:r>
            <a:rPr lang="pt-BR" sz="1000" b="1" baseline="0">
              <a:solidFill>
                <a:schemeClr val="accent6"/>
              </a:solidFill>
            </a:rPr>
            <a:t> Plano de Aposentadoria</a:t>
          </a:r>
          <a:endParaRPr lang="pt-BR" sz="1000" b="1">
            <a:solidFill>
              <a:schemeClr val="accent6"/>
            </a:solidFill>
          </a:endParaRPr>
        </a:p>
      </xdr:txBody>
    </xdr:sp>
    <xdr:clientData/>
  </xdr:twoCellAnchor>
  <xdr:twoCellAnchor editAs="absolute">
    <xdr:from>
      <xdr:col>3</xdr:col>
      <xdr:colOff>148590</xdr:colOff>
      <xdr:row>0</xdr:row>
      <xdr:rowOff>57150</xdr:rowOff>
    </xdr:from>
    <xdr:to>
      <xdr:col>3</xdr:col>
      <xdr:colOff>501015</xdr:colOff>
      <xdr:row>0</xdr:row>
      <xdr:rowOff>390525</xdr:rowOff>
    </xdr:to>
    <xdr:sp macro="" textlink="">
      <xdr:nvSpPr>
        <xdr:cNvPr id="5" name="Configuraçõe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B33FF0-5CF7-45C8-90EA-7129B28D1360}"/>
            </a:ext>
          </a:extLst>
        </xdr:cNvPr>
        <xdr:cNvSpPr/>
      </xdr:nvSpPr>
      <xdr:spPr>
        <a:xfrm>
          <a:off x="3339465" y="57150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949325</xdr:colOff>
      <xdr:row>0</xdr:row>
      <xdr:rowOff>57150</xdr:rowOff>
    </xdr:from>
    <xdr:to>
      <xdr:col>3</xdr:col>
      <xdr:colOff>44450</xdr:colOff>
      <xdr:row>0</xdr:row>
      <xdr:rowOff>390525</xdr:rowOff>
    </xdr:to>
    <xdr:sp macro="" textlink="">
      <xdr:nvSpPr>
        <xdr:cNvPr id="6" name="Registro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E4B033-CD35-48A3-99EB-85103003914C}"/>
            </a:ext>
          </a:extLst>
        </xdr:cNvPr>
        <xdr:cNvSpPr/>
      </xdr:nvSpPr>
      <xdr:spPr>
        <a:xfrm>
          <a:off x="2882900" y="57150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473710</xdr:colOff>
      <xdr:row>0</xdr:row>
      <xdr:rowOff>57150</xdr:rowOff>
    </xdr:from>
    <xdr:to>
      <xdr:col>2</xdr:col>
      <xdr:colOff>826135</xdr:colOff>
      <xdr:row>0</xdr:row>
      <xdr:rowOff>390525</xdr:rowOff>
    </xdr:to>
    <xdr:sp macro="" textlink="">
      <xdr:nvSpPr>
        <xdr:cNvPr id="7" name="Projeto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8070343-C0AE-42D5-B356-AB0BB5F9C8C5}"/>
            </a:ext>
          </a:extLst>
        </xdr:cNvPr>
        <xdr:cNvSpPr/>
      </xdr:nvSpPr>
      <xdr:spPr>
        <a:xfrm>
          <a:off x="2407285" y="57150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26670</xdr:colOff>
      <xdr:row>0</xdr:row>
      <xdr:rowOff>57150</xdr:rowOff>
    </xdr:from>
    <xdr:to>
      <xdr:col>2</xdr:col>
      <xdr:colOff>379095</xdr:colOff>
      <xdr:row>0</xdr:row>
      <xdr:rowOff>390525</xdr:rowOff>
    </xdr:to>
    <xdr:sp macro="" textlink="">
      <xdr:nvSpPr>
        <xdr:cNvPr id="8" name="Patrimôni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7215A13-80E8-4735-A983-7BCBC33B959C}"/>
            </a:ext>
          </a:extLst>
        </xdr:cNvPr>
        <xdr:cNvSpPr/>
      </xdr:nvSpPr>
      <xdr:spPr>
        <a:xfrm>
          <a:off x="1960245" y="57150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1398905</xdr:colOff>
      <xdr:row>0</xdr:row>
      <xdr:rowOff>57150</xdr:rowOff>
    </xdr:from>
    <xdr:to>
      <xdr:col>1</xdr:col>
      <xdr:colOff>1751330</xdr:colOff>
      <xdr:row>0</xdr:row>
      <xdr:rowOff>390525</xdr:rowOff>
    </xdr:to>
    <xdr:sp macro="" textlink="">
      <xdr:nvSpPr>
        <xdr:cNvPr id="9" name="Lançament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D57A6F7-F537-49F8-BC07-DC172A604A5C}"/>
            </a:ext>
          </a:extLst>
        </xdr:cNvPr>
        <xdr:cNvSpPr/>
      </xdr:nvSpPr>
      <xdr:spPr>
        <a:xfrm>
          <a:off x="1513205" y="57150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951865</xdr:colOff>
      <xdr:row>0</xdr:row>
      <xdr:rowOff>57150</xdr:rowOff>
    </xdr:from>
    <xdr:to>
      <xdr:col>1</xdr:col>
      <xdr:colOff>1304290</xdr:colOff>
      <xdr:row>0</xdr:row>
      <xdr:rowOff>390525</xdr:rowOff>
    </xdr:to>
    <xdr:sp macro="" textlink="">
      <xdr:nvSpPr>
        <xdr:cNvPr id="10" name="Flux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27E3795-E701-4FF6-B4C3-E703D36EDB99}"/>
            </a:ext>
          </a:extLst>
        </xdr:cNvPr>
        <xdr:cNvSpPr/>
      </xdr:nvSpPr>
      <xdr:spPr>
        <a:xfrm>
          <a:off x="1066165" y="57150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504825</xdr:colOff>
      <xdr:row>0</xdr:row>
      <xdr:rowOff>57150</xdr:rowOff>
    </xdr:from>
    <xdr:to>
      <xdr:col>1</xdr:col>
      <xdr:colOff>857250</xdr:colOff>
      <xdr:row>0</xdr:row>
      <xdr:rowOff>390525</xdr:rowOff>
    </xdr:to>
    <xdr:sp macro="" textlink="">
      <xdr:nvSpPr>
        <xdr:cNvPr id="11" name="Dash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701626-9391-4DD0-8CF6-A05932FFA7D3}"/>
            </a:ext>
          </a:extLst>
        </xdr:cNvPr>
        <xdr:cNvSpPr/>
      </xdr:nvSpPr>
      <xdr:spPr>
        <a:xfrm>
          <a:off x="619125" y="57150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742950</xdr:colOff>
      <xdr:row>0</xdr:row>
      <xdr:rowOff>133350</xdr:rowOff>
    </xdr:from>
    <xdr:to>
      <xdr:col>12</xdr:col>
      <xdr:colOff>1017840</xdr:colOff>
      <xdr:row>0</xdr:row>
      <xdr:rowOff>409717</xdr:rowOff>
    </xdr:to>
    <xdr:grpSp>
      <xdr:nvGrpSpPr>
        <xdr:cNvPr id="16" name="Macros">
          <a:extLst>
            <a:ext uri="{FF2B5EF4-FFF2-40B4-BE49-F238E27FC236}">
              <a16:creationId xmlns:a16="http://schemas.microsoft.com/office/drawing/2014/main" id="{A812CF1B-E392-4DEC-8E61-2BC6233DC393}"/>
            </a:ext>
          </a:extLst>
        </xdr:cNvPr>
        <xdr:cNvGrpSpPr/>
      </xdr:nvGrpSpPr>
      <xdr:grpSpPr>
        <a:xfrm>
          <a:off x="10694670" y="133350"/>
          <a:ext cx="1349310" cy="276367"/>
          <a:chOff x="10424013" y="142875"/>
          <a:chExt cx="1319710" cy="276367"/>
        </a:xfrm>
      </xdr:grpSpPr>
      <xdr:sp macro="" textlink="">
        <xdr:nvSpPr>
          <xdr:cNvPr id="17" name="Manual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79EFA8-FDDE-337F-20E5-BA63FFD36E81}"/>
              </a:ext>
            </a:extLst>
          </xdr:cNvPr>
          <xdr:cNvSpPr/>
        </xdr:nvSpPr>
        <xdr:spPr>
          <a:xfrm>
            <a:off x="11479555" y="143345"/>
            <a:ext cx="264168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inimizar" textlink="">
        <xdr:nvSpPr>
          <xdr:cNvPr id="18" name="Minimizar">
            <a:extLst>
              <a:ext uri="{FF2B5EF4-FFF2-40B4-BE49-F238E27FC236}">
                <a16:creationId xmlns:a16="http://schemas.microsoft.com/office/drawing/2014/main" id="{3E7E339C-2F25-406A-229A-3D0208566DB3}"/>
              </a:ext>
            </a:extLst>
          </xdr:cNvPr>
          <xdr:cNvSpPr/>
        </xdr:nvSpPr>
        <xdr:spPr>
          <a:xfrm>
            <a:off x="11150756" y="143345"/>
            <a:ext cx="268014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ximizar" textlink="">
        <xdr:nvSpPr>
          <xdr:cNvPr id="19" name="Ampliar">
            <a:extLst>
              <a:ext uri="{FF2B5EF4-FFF2-40B4-BE49-F238E27FC236}">
                <a16:creationId xmlns:a16="http://schemas.microsoft.com/office/drawing/2014/main" id="{05CB3430-8CF7-9D8C-D50B-5CEBD897EE08}"/>
              </a:ext>
            </a:extLst>
          </xdr:cNvPr>
          <xdr:cNvSpPr/>
        </xdr:nvSpPr>
        <xdr:spPr>
          <a:xfrm>
            <a:off x="10788992" y="146938"/>
            <a:ext cx="272405" cy="272304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20" name="Atualizar">
            <a:extLst>
              <a:ext uri="{FF2B5EF4-FFF2-40B4-BE49-F238E27FC236}">
                <a16:creationId xmlns:a16="http://schemas.microsoft.com/office/drawing/2014/main" id="{85FB8305-A3C2-9394-84B3-545229C713C6}"/>
              </a:ext>
            </a:extLst>
          </xdr:cNvPr>
          <xdr:cNvSpPr/>
        </xdr:nvSpPr>
        <xdr:spPr>
          <a:xfrm>
            <a:off x="10424013" y="142875"/>
            <a:ext cx="285145" cy="27636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14</xdr:col>
      <xdr:colOff>98433</xdr:colOff>
      <xdr:row>1</xdr:row>
      <xdr:rowOff>85725</xdr:rowOff>
    </xdr:to>
    <xdr:pic>
      <xdr:nvPicPr>
        <xdr:cNvPr id="2" name="Registro">
          <a:extLst>
            <a:ext uri="{FF2B5EF4-FFF2-40B4-BE49-F238E27FC236}">
              <a16:creationId xmlns:a16="http://schemas.microsoft.com/office/drawing/2014/main" id="{F85793C1-9AD7-4048-9B78-007433C84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725"/>
          <a:ext cx="12395208" cy="581025"/>
        </a:xfrm>
        <a:prstGeom prst="rect">
          <a:avLst/>
        </a:prstGeom>
      </xdr:spPr>
    </xdr:pic>
    <xdr:clientData/>
  </xdr:twoCellAnchor>
  <xdr:twoCellAnchor editAs="absolute">
    <xdr:from>
      <xdr:col>4</xdr:col>
      <xdr:colOff>329565</xdr:colOff>
      <xdr:row>0</xdr:row>
      <xdr:rowOff>47625</xdr:rowOff>
    </xdr:from>
    <xdr:to>
      <xdr:col>4</xdr:col>
      <xdr:colOff>681990</xdr:colOff>
      <xdr:row>0</xdr:row>
      <xdr:rowOff>381000</xdr:rowOff>
    </xdr:to>
    <xdr:sp macro="" textlink="">
      <xdr:nvSpPr>
        <xdr:cNvPr id="3" name="Configuraçõe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3B72EF-4090-4D8B-9627-8697B0658551}"/>
            </a:ext>
          </a:extLst>
        </xdr:cNvPr>
        <xdr:cNvSpPr/>
      </xdr:nvSpPr>
      <xdr:spPr>
        <a:xfrm>
          <a:off x="334899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1054100</xdr:colOff>
      <xdr:row>0</xdr:row>
      <xdr:rowOff>47625</xdr:rowOff>
    </xdr:from>
    <xdr:to>
      <xdr:col>4</xdr:col>
      <xdr:colOff>225425</xdr:colOff>
      <xdr:row>0</xdr:row>
      <xdr:rowOff>381000</xdr:rowOff>
    </xdr:to>
    <xdr:sp macro="" textlink="">
      <xdr:nvSpPr>
        <xdr:cNvPr id="4" name="Registro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7EFD52-6F8D-46CE-A1DE-AABD7F973CE9}"/>
            </a:ext>
          </a:extLst>
        </xdr:cNvPr>
        <xdr:cNvSpPr/>
      </xdr:nvSpPr>
      <xdr:spPr>
        <a:xfrm>
          <a:off x="2892425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578485</xdr:colOff>
      <xdr:row>0</xdr:row>
      <xdr:rowOff>47625</xdr:rowOff>
    </xdr:from>
    <xdr:to>
      <xdr:col>3</xdr:col>
      <xdr:colOff>930910</xdr:colOff>
      <xdr:row>0</xdr:row>
      <xdr:rowOff>381000</xdr:rowOff>
    </xdr:to>
    <xdr:sp macro="" textlink="">
      <xdr:nvSpPr>
        <xdr:cNvPr id="5" name="Projeto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A46BF3-1E65-4E15-AD8A-B7035F77B11A}"/>
            </a:ext>
          </a:extLst>
        </xdr:cNvPr>
        <xdr:cNvSpPr/>
      </xdr:nvSpPr>
      <xdr:spPr>
        <a:xfrm>
          <a:off x="241681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131445</xdr:colOff>
      <xdr:row>0</xdr:row>
      <xdr:rowOff>47625</xdr:rowOff>
    </xdr:from>
    <xdr:to>
      <xdr:col>3</xdr:col>
      <xdr:colOff>483870</xdr:colOff>
      <xdr:row>0</xdr:row>
      <xdr:rowOff>381000</xdr:rowOff>
    </xdr:to>
    <xdr:sp macro="" textlink="">
      <xdr:nvSpPr>
        <xdr:cNvPr id="6" name="Patrimôni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154A2CB-C811-4DFA-9EFE-3129ABF0E47A}"/>
            </a:ext>
          </a:extLst>
        </xdr:cNvPr>
        <xdr:cNvSpPr/>
      </xdr:nvSpPr>
      <xdr:spPr>
        <a:xfrm>
          <a:off x="196977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408305</xdr:colOff>
      <xdr:row>0</xdr:row>
      <xdr:rowOff>47625</xdr:rowOff>
    </xdr:from>
    <xdr:to>
      <xdr:col>3</xdr:col>
      <xdr:colOff>36830</xdr:colOff>
      <xdr:row>0</xdr:row>
      <xdr:rowOff>381000</xdr:rowOff>
    </xdr:to>
    <xdr:sp macro="" textlink="">
      <xdr:nvSpPr>
        <xdr:cNvPr id="7" name="Lançamento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AE8AD9E-DD78-4100-9315-E29AEB8EAAAF}"/>
            </a:ext>
          </a:extLst>
        </xdr:cNvPr>
        <xdr:cNvSpPr/>
      </xdr:nvSpPr>
      <xdr:spPr>
        <a:xfrm>
          <a:off x="152273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961390</xdr:colOff>
      <xdr:row>0</xdr:row>
      <xdr:rowOff>47625</xdr:rowOff>
    </xdr:from>
    <xdr:to>
      <xdr:col>2</xdr:col>
      <xdr:colOff>313690</xdr:colOff>
      <xdr:row>0</xdr:row>
      <xdr:rowOff>381000</xdr:rowOff>
    </xdr:to>
    <xdr:sp macro="" textlink="">
      <xdr:nvSpPr>
        <xdr:cNvPr id="8" name="Flux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E15600C-7BB5-45BE-9553-3193D01193DF}"/>
            </a:ext>
          </a:extLst>
        </xdr:cNvPr>
        <xdr:cNvSpPr/>
      </xdr:nvSpPr>
      <xdr:spPr>
        <a:xfrm>
          <a:off x="107569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514350</xdr:colOff>
      <xdr:row>0</xdr:row>
      <xdr:rowOff>47625</xdr:rowOff>
    </xdr:from>
    <xdr:to>
      <xdr:col>1</xdr:col>
      <xdr:colOff>866775</xdr:colOff>
      <xdr:row>0</xdr:row>
      <xdr:rowOff>381000</xdr:rowOff>
    </xdr:to>
    <xdr:sp macro="" textlink="">
      <xdr:nvSpPr>
        <xdr:cNvPr id="9" name="Dash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DC1A9E3-3DBC-410A-A4BA-8488BFDB3F97}"/>
            </a:ext>
          </a:extLst>
        </xdr:cNvPr>
        <xdr:cNvSpPr/>
      </xdr:nvSpPr>
      <xdr:spPr>
        <a:xfrm>
          <a:off x="628650" y="4762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581025</xdr:colOff>
      <xdr:row>0</xdr:row>
      <xdr:rowOff>152400</xdr:rowOff>
    </xdr:from>
    <xdr:to>
      <xdr:col>13</xdr:col>
      <xdr:colOff>74865</xdr:colOff>
      <xdr:row>0</xdr:row>
      <xdr:rowOff>428767</xdr:rowOff>
    </xdr:to>
    <xdr:grpSp>
      <xdr:nvGrpSpPr>
        <xdr:cNvPr id="14" name="Macros">
          <a:extLst>
            <a:ext uri="{FF2B5EF4-FFF2-40B4-BE49-F238E27FC236}">
              <a16:creationId xmlns:a16="http://schemas.microsoft.com/office/drawing/2014/main" id="{77169C0C-7FA7-4292-8961-196A6A94C2A8}"/>
            </a:ext>
          </a:extLst>
        </xdr:cNvPr>
        <xdr:cNvGrpSpPr/>
      </xdr:nvGrpSpPr>
      <xdr:grpSpPr>
        <a:xfrm>
          <a:off x="10700385" y="152400"/>
          <a:ext cx="1322640" cy="276367"/>
          <a:chOff x="10424013" y="142875"/>
          <a:chExt cx="1319710" cy="276367"/>
        </a:xfrm>
      </xdr:grpSpPr>
      <xdr:sp macro="" textlink="">
        <xdr:nvSpPr>
          <xdr:cNvPr id="15" name="Manual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9320166-DD7A-E285-6C50-92E4D4BB2DF6}"/>
              </a:ext>
            </a:extLst>
          </xdr:cNvPr>
          <xdr:cNvSpPr/>
        </xdr:nvSpPr>
        <xdr:spPr>
          <a:xfrm>
            <a:off x="11479555" y="143345"/>
            <a:ext cx="264168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inimizar" textlink="">
        <xdr:nvSpPr>
          <xdr:cNvPr id="16" name="Minimizar">
            <a:extLst>
              <a:ext uri="{FF2B5EF4-FFF2-40B4-BE49-F238E27FC236}">
                <a16:creationId xmlns:a16="http://schemas.microsoft.com/office/drawing/2014/main" id="{1E77AE3C-B737-CE1B-5214-5C15559F6319}"/>
              </a:ext>
            </a:extLst>
          </xdr:cNvPr>
          <xdr:cNvSpPr/>
        </xdr:nvSpPr>
        <xdr:spPr>
          <a:xfrm>
            <a:off x="11150756" y="143345"/>
            <a:ext cx="268014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ximizar" textlink="">
        <xdr:nvSpPr>
          <xdr:cNvPr id="17" name="Ampliar">
            <a:extLst>
              <a:ext uri="{FF2B5EF4-FFF2-40B4-BE49-F238E27FC236}">
                <a16:creationId xmlns:a16="http://schemas.microsoft.com/office/drawing/2014/main" id="{A1458DE9-59D6-5B67-E52C-78752B0720C8}"/>
              </a:ext>
            </a:extLst>
          </xdr:cNvPr>
          <xdr:cNvSpPr/>
        </xdr:nvSpPr>
        <xdr:spPr>
          <a:xfrm>
            <a:off x="10788992" y="146938"/>
            <a:ext cx="272405" cy="272304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18" name="Atualizar">
            <a:extLst>
              <a:ext uri="{FF2B5EF4-FFF2-40B4-BE49-F238E27FC236}">
                <a16:creationId xmlns:a16="http://schemas.microsoft.com/office/drawing/2014/main" id="{8D3FD871-F861-3C62-8649-427314E13D37}"/>
              </a:ext>
            </a:extLst>
          </xdr:cNvPr>
          <xdr:cNvSpPr/>
        </xdr:nvSpPr>
        <xdr:spPr>
          <a:xfrm>
            <a:off x="10424013" y="142875"/>
            <a:ext cx="285145" cy="27636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18</xdr:col>
      <xdr:colOff>327033</xdr:colOff>
      <xdr:row>1</xdr:row>
      <xdr:rowOff>0</xdr:rowOff>
    </xdr:to>
    <xdr:pic>
      <xdr:nvPicPr>
        <xdr:cNvPr id="2" name="Configuracao">
          <a:extLst>
            <a:ext uri="{FF2B5EF4-FFF2-40B4-BE49-F238E27FC236}">
              <a16:creationId xmlns:a16="http://schemas.microsoft.com/office/drawing/2014/main" id="{238CF681-65CA-4A75-866E-403CD8DE8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95208" cy="581025"/>
        </a:xfrm>
        <a:prstGeom prst="rect">
          <a:avLst/>
        </a:prstGeom>
      </xdr:spPr>
    </xdr:pic>
    <xdr:clientData/>
  </xdr:twoCellAnchor>
  <xdr:twoCellAnchor editAs="absolute">
    <xdr:from>
      <xdr:col>8</xdr:col>
      <xdr:colOff>419100</xdr:colOff>
      <xdr:row>1</xdr:row>
      <xdr:rowOff>142875</xdr:rowOff>
    </xdr:from>
    <xdr:to>
      <xdr:col>9</xdr:col>
      <xdr:colOff>490749</xdr:colOff>
      <xdr:row>3</xdr:row>
      <xdr:rowOff>1201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34E6396C-BDC2-BD80-6050-E7F3B958BA4F}"/>
            </a:ext>
          </a:extLst>
        </xdr:cNvPr>
        <xdr:cNvGrpSpPr/>
      </xdr:nvGrpSpPr>
      <xdr:grpSpPr>
        <a:xfrm>
          <a:off x="6903720" y="721995"/>
          <a:ext cx="1069869" cy="246946"/>
          <a:chOff x="4257675" y="723900"/>
          <a:chExt cx="1043199" cy="248851"/>
        </a:xfrm>
      </xdr:grpSpPr>
      <xdr:sp macro="[0]!ExcluirLinhasTabelaConfig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3880382E-F692-AA14-CCC0-967DEEFFBAF3}"/>
              </a:ext>
            </a:extLst>
          </xdr:cNvPr>
          <xdr:cNvSpPr/>
        </xdr:nvSpPr>
        <xdr:spPr>
          <a:xfrm>
            <a:off x="4257675" y="762000"/>
            <a:ext cx="1011600" cy="187200"/>
          </a:xfrm>
          <a:prstGeom prst="roundRect">
            <a:avLst/>
          </a:prstGeom>
          <a:solidFill>
            <a:schemeClr val="accent3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ExcluirLinhasTabelaConfig">
        <xdr:nvPicPr>
          <xdr:cNvPr id="4" name="Gráfico 3" descr="Lixo com preenchimento sólido">
            <a:extLst>
              <a:ext uri="{FF2B5EF4-FFF2-40B4-BE49-F238E27FC236}">
                <a16:creationId xmlns:a16="http://schemas.microsoft.com/office/drawing/2014/main" id="{546766F6-0B8D-4A85-B9DF-F5C426E754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4343400" y="790575"/>
            <a:ext cx="144010" cy="141954"/>
          </a:xfrm>
          <a:prstGeom prst="rect">
            <a:avLst/>
          </a:prstGeom>
        </xdr:spPr>
      </xdr:pic>
      <xdr:sp macro="[0]!ExcluirLinhasTabelaConfig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87E4E8D-0F00-082E-250F-9CDA04272DA5}"/>
              </a:ext>
            </a:extLst>
          </xdr:cNvPr>
          <xdr:cNvSpPr txBox="1"/>
        </xdr:nvSpPr>
        <xdr:spPr>
          <a:xfrm>
            <a:off x="4438650" y="723900"/>
            <a:ext cx="862224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000"/>
              <a:t>Excluir linhas</a:t>
            </a:r>
          </a:p>
        </xdr:txBody>
      </xdr:sp>
    </xdr:grpSp>
    <xdr:clientData/>
  </xdr:twoCellAnchor>
  <xdr:twoCellAnchor editAs="absolute">
    <xdr:from>
      <xdr:col>4</xdr:col>
      <xdr:colOff>1358265</xdr:colOff>
      <xdr:row>0</xdr:row>
      <xdr:rowOff>66675</xdr:rowOff>
    </xdr:from>
    <xdr:to>
      <xdr:col>4</xdr:col>
      <xdr:colOff>1710690</xdr:colOff>
      <xdr:row>0</xdr:row>
      <xdr:rowOff>400050</xdr:rowOff>
    </xdr:to>
    <xdr:sp macro="" textlink="">
      <xdr:nvSpPr>
        <xdr:cNvPr id="6" name="Configuraçõe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F143ECD-1435-43F8-9B61-10DB80CC807E}"/>
            </a:ext>
          </a:extLst>
        </xdr:cNvPr>
        <xdr:cNvSpPr/>
      </xdr:nvSpPr>
      <xdr:spPr>
        <a:xfrm>
          <a:off x="3329940" y="6667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901700</xdr:colOff>
      <xdr:row>0</xdr:row>
      <xdr:rowOff>66675</xdr:rowOff>
    </xdr:from>
    <xdr:to>
      <xdr:col>4</xdr:col>
      <xdr:colOff>1254125</xdr:colOff>
      <xdr:row>0</xdr:row>
      <xdr:rowOff>400050</xdr:rowOff>
    </xdr:to>
    <xdr:sp macro="" textlink="">
      <xdr:nvSpPr>
        <xdr:cNvPr id="7" name="Registro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87BAF8-1B7B-46A7-9BB6-73234DFAF59F}"/>
            </a:ext>
          </a:extLst>
        </xdr:cNvPr>
        <xdr:cNvSpPr/>
      </xdr:nvSpPr>
      <xdr:spPr>
        <a:xfrm>
          <a:off x="2873375" y="6667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426085</xdr:colOff>
      <xdr:row>0</xdr:row>
      <xdr:rowOff>66675</xdr:rowOff>
    </xdr:from>
    <xdr:to>
      <xdr:col>4</xdr:col>
      <xdr:colOff>778510</xdr:colOff>
      <xdr:row>0</xdr:row>
      <xdr:rowOff>400050</xdr:rowOff>
    </xdr:to>
    <xdr:sp macro="" textlink="">
      <xdr:nvSpPr>
        <xdr:cNvPr id="8" name="Projeto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C4F2A69-E130-4C81-AD62-2A153FF744C9}"/>
            </a:ext>
          </a:extLst>
        </xdr:cNvPr>
        <xdr:cNvSpPr/>
      </xdr:nvSpPr>
      <xdr:spPr>
        <a:xfrm>
          <a:off x="2397760" y="6667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588645</xdr:colOff>
      <xdr:row>0</xdr:row>
      <xdr:rowOff>66675</xdr:rowOff>
    </xdr:from>
    <xdr:to>
      <xdr:col>4</xdr:col>
      <xdr:colOff>331470</xdr:colOff>
      <xdr:row>0</xdr:row>
      <xdr:rowOff>400050</xdr:rowOff>
    </xdr:to>
    <xdr:sp macro="" textlink="">
      <xdr:nvSpPr>
        <xdr:cNvPr id="9" name="Patrimôni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E6A1A37-7530-4F90-9338-C09CBF1B53A0}"/>
            </a:ext>
          </a:extLst>
        </xdr:cNvPr>
        <xdr:cNvSpPr/>
      </xdr:nvSpPr>
      <xdr:spPr>
        <a:xfrm>
          <a:off x="1950720" y="6667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141605</xdr:colOff>
      <xdr:row>0</xdr:row>
      <xdr:rowOff>66675</xdr:rowOff>
    </xdr:from>
    <xdr:to>
      <xdr:col>3</xdr:col>
      <xdr:colOff>494030</xdr:colOff>
      <xdr:row>0</xdr:row>
      <xdr:rowOff>400050</xdr:rowOff>
    </xdr:to>
    <xdr:sp macro="" textlink="">
      <xdr:nvSpPr>
        <xdr:cNvPr id="10" name="Lançamento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9EF3625-4E12-4456-B11B-2FE7494691EF}"/>
            </a:ext>
          </a:extLst>
        </xdr:cNvPr>
        <xdr:cNvSpPr/>
      </xdr:nvSpPr>
      <xdr:spPr>
        <a:xfrm>
          <a:off x="1503680" y="6667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942340</xdr:colOff>
      <xdr:row>0</xdr:row>
      <xdr:rowOff>66675</xdr:rowOff>
    </xdr:from>
    <xdr:to>
      <xdr:col>3</xdr:col>
      <xdr:colOff>46990</xdr:colOff>
      <xdr:row>0</xdr:row>
      <xdr:rowOff>400050</xdr:rowOff>
    </xdr:to>
    <xdr:sp macro="" textlink="">
      <xdr:nvSpPr>
        <xdr:cNvPr id="11" name="Fluxo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EE7047C-D15F-4DAA-A4ED-4E1B9055A9FA}"/>
            </a:ext>
          </a:extLst>
        </xdr:cNvPr>
        <xdr:cNvSpPr/>
      </xdr:nvSpPr>
      <xdr:spPr>
        <a:xfrm>
          <a:off x="1056640" y="6667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495300</xdr:colOff>
      <xdr:row>0</xdr:row>
      <xdr:rowOff>66675</xdr:rowOff>
    </xdr:from>
    <xdr:to>
      <xdr:col>2</xdr:col>
      <xdr:colOff>847725</xdr:colOff>
      <xdr:row>0</xdr:row>
      <xdr:rowOff>400050</xdr:rowOff>
    </xdr:to>
    <xdr:sp macro="" textlink="">
      <xdr:nvSpPr>
        <xdr:cNvPr id="12" name="Dash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B335B2D-F93D-4B69-8292-806C159FB958}"/>
            </a:ext>
          </a:extLst>
        </xdr:cNvPr>
        <xdr:cNvSpPr/>
      </xdr:nvSpPr>
      <xdr:spPr>
        <a:xfrm>
          <a:off x="609600" y="66675"/>
          <a:ext cx="352425" cy="3333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590550</xdr:colOff>
      <xdr:row>0</xdr:row>
      <xdr:rowOff>152400</xdr:rowOff>
    </xdr:from>
    <xdr:to>
      <xdr:col>17</xdr:col>
      <xdr:colOff>303465</xdr:colOff>
      <xdr:row>0</xdr:row>
      <xdr:rowOff>428767</xdr:rowOff>
    </xdr:to>
    <xdr:grpSp>
      <xdr:nvGrpSpPr>
        <xdr:cNvPr id="13" name="Macros">
          <a:extLst>
            <a:ext uri="{FF2B5EF4-FFF2-40B4-BE49-F238E27FC236}">
              <a16:creationId xmlns:a16="http://schemas.microsoft.com/office/drawing/2014/main" id="{D64FBC64-C6C9-4EF6-B35E-969819312591}"/>
            </a:ext>
          </a:extLst>
        </xdr:cNvPr>
        <xdr:cNvGrpSpPr/>
      </xdr:nvGrpSpPr>
      <xdr:grpSpPr>
        <a:xfrm>
          <a:off x="10664190" y="152400"/>
          <a:ext cx="1358835" cy="276367"/>
          <a:chOff x="10424013" y="142875"/>
          <a:chExt cx="1319710" cy="276367"/>
        </a:xfrm>
      </xdr:grpSpPr>
      <xdr:sp macro="" textlink="">
        <xdr:nvSpPr>
          <xdr:cNvPr id="14" name="Manual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000B446-52C2-385B-F18D-0BE276163036}"/>
              </a:ext>
            </a:extLst>
          </xdr:cNvPr>
          <xdr:cNvSpPr/>
        </xdr:nvSpPr>
        <xdr:spPr>
          <a:xfrm>
            <a:off x="11479555" y="143345"/>
            <a:ext cx="264168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inimizar" textlink="">
        <xdr:nvSpPr>
          <xdr:cNvPr id="15" name="Minimizar">
            <a:extLst>
              <a:ext uri="{FF2B5EF4-FFF2-40B4-BE49-F238E27FC236}">
                <a16:creationId xmlns:a16="http://schemas.microsoft.com/office/drawing/2014/main" id="{36C5D3AB-134E-D6C3-D9A0-24E5DB7F94A0}"/>
              </a:ext>
            </a:extLst>
          </xdr:cNvPr>
          <xdr:cNvSpPr/>
        </xdr:nvSpPr>
        <xdr:spPr>
          <a:xfrm>
            <a:off x="11150756" y="143345"/>
            <a:ext cx="268014" cy="27589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aximizar" textlink="">
        <xdr:nvSpPr>
          <xdr:cNvPr id="16" name="Ampliar">
            <a:extLst>
              <a:ext uri="{FF2B5EF4-FFF2-40B4-BE49-F238E27FC236}">
                <a16:creationId xmlns:a16="http://schemas.microsoft.com/office/drawing/2014/main" id="{F91B6034-0253-8D71-B316-445F17254309}"/>
              </a:ext>
            </a:extLst>
          </xdr:cNvPr>
          <xdr:cNvSpPr/>
        </xdr:nvSpPr>
        <xdr:spPr>
          <a:xfrm>
            <a:off x="10788992" y="146938"/>
            <a:ext cx="272405" cy="272304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tualizar" textlink="">
        <xdr:nvSpPr>
          <xdr:cNvPr id="23" name="Atualizar">
            <a:extLst>
              <a:ext uri="{FF2B5EF4-FFF2-40B4-BE49-F238E27FC236}">
                <a16:creationId xmlns:a16="http://schemas.microsoft.com/office/drawing/2014/main" id="{268D7A7D-ACAB-D12A-7C8C-7ED593C9102B}"/>
              </a:ext>
            </a:extLst>
          </xdr:cNvPr>
          <xdr:cNvSpPr/>
        </xdr:nvSpPr>
        <xdr:spPr>
          <a:xfrm>
            <a:off x="10424013" y="142875"/>
            <a:ext cx="285145" cy="276367"/>
          </a:xfrm>
          <a:prstGeom prst="rect">
            <a:avLst/>
          </a:prstGeom>
          <a:solidFill>
            <a:srgbClr val="CFB3FB">
              <a:alpha val="0"/>
            </a:srgb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HERME EMIDIO BATISTA" refreshedDate="46195.755203819448" createdVersion="8" refreshedVersion="8" minRefreshableVersion="3" recordCount="1" xr:uid="{967217CB-6821-4AD1-91A7-F6B09171CE33}">
  <cacheSource type="worksheet">
    <worksheetSource name="TabInst"/>
  </cacheSource>
  <cacheFields count="5">
    <cacheField name="INSTITUIÇÃO" numFmtId="0">
      <sharedItems containsNonDate="0" containsBlank="1" count="15">
        <m/>
        <s v="Itaú" u="1"/>
        <s v="BB" u="1"/>
        <s v="C6 Black" u="1"/>
        <s v="Nubank" u="1"/>
        <s v="Santander" u="1"/>
        <s v="Bradesco" u="1"/>
        <s v="Mercado Livre" u="1"/>
        <s v="MPFi Bank" u="1"/>
        <s v="PAgBank" u="1"/>
        <s v="Original" u="1"/>
        <s v="C6" u="1"/>
        <s v="Inter PJ" u="1"/>
        <s v="Porto Visa" u="1"/>
        <s v="Banco do Brasil" u="1"/>
      </sharedItems>
    </cacheField>
    <cacheField name="TIPO" numFmtId="0">
      <sharedItems containsNonDate="0" containsBlank="1" count="3">
        <m/>
        <s v="Conta" u="1"/>
        <s v="Cartão" u="1"/>
      </sharedItems>
    </cacheField>
    <cacheField name="SALDO INICIAL" numFmtId="4">
      <sharedItems containsNonDate="0" containsString="0" containsBlank="1"/>
    </cacheField>
    <cacheField name="SALDO ATUAL" numFmtId="4">
      <sharedItems containsNonDate="0" containsString="0" containsBlank="1"/>
    </cacheField>
    <cacheField name="DESCRIÇÃ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HERME EMIDIO BATISTA" refreshedDate="46195.755204050925" createdVersion="8" refreshedVersion="8" minRefreshableVersion="3" recordCount="198" xr:uid="{4D45B168-9519-489F-8566-16C5730ADEBC}">
  <cacheSource type="worksheet">
    <worksheetSource name="LO"/>
  </cacheSource>
  <cacheFields count="22">
    <cacheField name="DT Compra" numFmtId="165">
      <sharedItems containsNonDate="0" containsDate="1" containsString="0" containsBlank="1" minDate="2026-03-02T00:00:00" maxDate="2026-11-02T00:00:00"/>
    </cacheField>
    <cacheField name="DT Venc" numFmtId="165">
      <sharedItems containsNonDate="0" containsDate="1" containsString="0" containsBlank="1" minDate="2026-04-10T00:00:00" maxDate="2028-04-11T00:00:00"/>
    </cacheField>
    <cacheField name="Descrição" numFmtId="0">
      <sharedItems containsBlank="1"/>
    </cacheField>
    <cacheField name="Valor" numFmtId="0">
      <sharedItems containsString="0" containsBlank="1" containsNumber="1" minValue="0" maxValue="5000"/>
    </cacheField>
    <cacheField name="INSTITUIÇÃO" numFmtId="0">
      <sharedItems containsBlank="1"/>
    </cacheField>
    <cacheField name="Pessoa" numFmtId="0">
      <sharedItems containsBlank="1" count="17">
        <s v="Mãe"/>
        <s v="Eu"/>
        <s v="Yasmin"/>
        <s v="Samuel"/>
        <s v="Emprestimo"/>
        <s v="EMPRESA"/>
        <s v="RCS"/>
        <m/>
        <s v="Prova"/>
        <s v="Luis"/>
        <s v="Leo"/>
        <s v="Igor"/>
        <s v="Gabriel" u="1"/>
        <s v="Antônio" u="1"/>
        <s v="Joana" u="1"/>
        <s v="Júnior" u="1"/>
        <s v="Enzo" u="1"/>
      </sharedItems>
    </cacheField>
    <cacheField name="Status" numFmtId="0">
      <sharedItems containsBlank="1" count="3">
        <s v="Realizado"/>
        <s v="Previsto"/>
        <m/>
      </sharedItems>
    </cacheField>
    <cacheField name="Obs (OPCIONAL)" numFmtId="0">
      <sharedItems containsBlank="1"/>
    </cacheField>
    <cacheField name="Grupo" numFmtId="0">
      <sharedItems containsBlank="1" count="5">
        <s v="OPERACIONAL"/>
        <s v="NÃO OPERACIONAL"/>
        <s v=""/>
        <m u="1"/>
        <s v="NÃO APAGAR" u="1"/>
      </sharedItems>
    </cacheField>
    <cacheField name="Tipo" numFmtId="0">
      <sharedItems containsBlank="1" count="4">
        <s v="DESPESA"/>
        <s v="RECEITA"/>
        <s v=""/>
        <m u="1"/>
      </sharedItems>
    </cacheField>
    <cacheField name="CATEGORIA" numFmtId="0">
      <sharedItems containsBlank="1" count="28">
        <s v="Moradia"/>
        <s v="Transporte"/>
        <s v="Comunicação"/>
        <s v="Pessoais"/>
        <s v="Empréstimo"/>
        <s v="Lazer"/>
        <s v="Renda Principal"/>
        <s v="Renda Extra"/>
        <s v="Alimentação"/>
        <s v="Saúde"/>
        <s v="Dependentes"/>
        <s v="Diversos"/>
        <s v=""/>
        <s v="Investimentos"/>
        <s v="Resgates"/>
        <m u="1"/>
        <s v="Renda Cônjuge" u="1"/>
        <s v="Educação" u="1"/>
        <s v="Serviços Financeiros" u="1"/>
        <s v="Financiamento" u="1"/>
        <s v="Pagamento de Cartão" u="1"/>
        <s v="Pagamento de Fatura" u="1"/>
        <s v="Envio Transf" u="1"/>
        <s v="Receb Transf" u="1"/>
        <s v="Empresa" u="1"/>
        <s v="Previdência" u="1"/>
        <s v="Seguro de Vida" u="1"/>
        <s v="Outros Seguros" u="1"/>
      </sharedItems>
    </cacheField>
    <cacheField name="SUBCATEGORIA" numFmtId="0">
      <sharedItems containsBlank="1" count="164">
        <s v="Água"/>
        <s v="Combustível"/>
        <s v="Internet"/>
        <s v="INTERNET CELULAR"/>
        <s v="Apps (Netflix, Spotify, Skype, etc)"/>
        <s v="Parcelamento Cartão de Crédito"/>
        <s v="CELULAR"/>
        <s v="FONTE, COOLER"/>
        <s v="CADEIRA"/>
        <s v="PLACA MAE"/>
        <s v="PROCESSADOR"/>
        <s v="APPLE"/>
        <s v="SHOPEE"/>
        <s v="SHEIN"/>
        <s v="TECLADO"/>
        <s v="ANIVERSARIO DE NAMORO"/>
        <s v="DIA DIA(Yasmin)"/>
        <s v="DROGASIL(YASMIN)"/>
        <s v="TECLADO E MOUSE"/>
        <s v="ESTRORNO TECLADO E MOUSE"/>
        <s v="Salário Principal"/>
        <s v="Outras fontes de renda"/>
        <s v="Lanches &amp; Snacks"/>
        <s v="Medicamentos / Farmácia"/>
        <s v="Utensílios e Eletrodomésticos"/>
        <s v="Presentes / Festa de Aniversário"/>
        <s v="Presentes"/>
        <s v="Supermercado"/>
        <s v="Outros Lazer"/>
        <s v="Empréstimo Pessoal - Banco"/>
        <s v=""/>
        <s v="Projeto 1"/>
        <s v="Venda de Objetos"/>
        <s v="Estética" u="1"/>
        <s v="Ônibus / Metrô" u="1"/>
        <s v="IPTU" u="1"/>
        <s v="Empréstimo Pessoal - Família" u="1"/>
        <s v="AGUA E LUZ" u="1"/>
        <s v="GASOLINA" u="1"/>
        <s v="KINDLE" u="1"/>
        <s v="CANVA" u="1"/>
        <s v="RENNER" u="1"/>
        <s v="CARTÃO NUBANK" u="1"/>
        <m u="1"/>
        <s v="Salário Cônjuge" u="1"/>
        <s v="Recebimento Aluguel" u="1"/>
        <s v="Condomínio" u="1"/>
        <s v="Aluguel" u="1"/>
        <s v="Energia Elétrica" u="1"/>
        <s v="Serviços de limpeza / Faxina" u="1"/>
        <s v="Telefone Celular " u="1"/>
        <s v="Refeições em restaurante" u="1"/>
        <s v="IPVA" u="1"/>
        <s v="Manutenção" u="1"/>
        <s v="Plano de Saúde" u="1"/>
        <s v="Salão / Barbeiro / Manicure" u="1"/>
        <s v="Academia / Esportes" u="1"/>
        <s v="Colégio" u="1"/>
        <s v="Idiomas" u="1"/>
        <s v="Viagens" u="1"/>
        <s v="Tarifas Bancárias" u="1"/>
        <s v="Animais de estimação" u="1"/>
        <s v="Financiamento Automóvel" u="1"/>
        <s v="Financiamento Imóvel" u="1"/>
        <s v="13º Salário Principal" u="1"/>
        <s v="13º Salário Cônjuge" u="1"/>
        <s v="Pensão / Auxílio de Parentes" u="1"/>
        <s v="Poupança" u="1"/>
        <s v="Participação de Lucros Principal" u="1"/>
        <s v="Multas" u="1"/>
        <s v="Seguro Carro" u="1"/>
        <s v="Estacionamento" u="1"/>
        <s v="Férias Bruto Cônjuge" u="1"/>
        <s v="Anuidade Cartão Crédito" u="1"/>
        <s v="Terapia / Tratamentos Contínuos" u="1"/>
        <s v="Clubes / Parques" u="1"/>
        <s v="Fatura" u="1"/>
        <s v="Pagamento de Fatura" u="1"/>
        <s v="Envio para outra conta" u="1"/>
        <s v="Recebimento de outra conta" u="1"/>
        <s v="Bônus Principal" u="1"/>
        <s v="Horas extras / Comissões Principal" u="1"/>
        <s v="Férias Bruto Principal" u="1"/>
        <s v="Bônus Cônjuge" u="1"/>
        <s v="Participação nos Lucros Cônjuge" u="1"/>
        <s v="Horas extras / Comissões Cônjuge" u="1"/>
        <s v="VT / VR / VA" u="1"/>
        <s v="Aposentadoria INSS" u="1"/>
        <s v="Restituição IR" u="1"/>
        <s v="Gás" u="1"/>
        <s v="Material de Limpeza" u="1"/>
        <s v="Seguro Residencial" u="1"/>
        <s v="Reforma / Manutenção / Jardineiro" u="1"/>
        <s v="Custos com Imóveis de Veraneio" u="1"/>
        <s v="Custos com Imóveis não Alugados" u="1"/>
        <s v="Outros Moradia" u="1"/>
        <s v="Combo (TV + Internet + Tel)" u="1"/>
        <s v="Telefone Fixo" u="1"/>
        <s v="TV a cabo" u="1"/>
        <s v="Outros Comunicação" u="1"/>
        <s v="Feira" u="1"/>
        <s v="Padaria" u="1"/>
        <s v="Outros Alimentação" u="1"/>
        <s v="Licenciamento" u="1"/>
        <s v="Pedágio" u="1"/>
        <s v="Táxi" u="1"/>
        <s v="Lavagem / Higienização" u="1"/>
        <s v="Outros Transporte" u="1"/>
        <s v="Dentista" u="1"/>
        <s v="Outras Consultas Fora do Plano" u="1"/>
        <s v="Outros Saúde" u="1"/>
        <s v="Vestuário / Calçados / Acessórios" u="1"/>
        <s v="Higiene pessoal" u="1"/>
        <s v="Lavanderia" u="1"/>
        <s v="Suplemento Alimentar" u="1"/>
        <s v="Outros Pessoais" u="1"/>
        <s v="Graduação" u="1"/>
        <s v="Pós-Graduação " u="1"/>
        <s v="Cursos de Extensão" u="1"/>
        <s v="Outros Educação" u="1"/>
        <s v="Cinema / Teatro / Shows" u="1"/>
        <s v="Livros / Revistas / Jornais / CDs" u="1"/>
        <s v="Bares e Restaurantes" u="1"/>
        <s v="Planejamento Financeiro Pessoal" u="1"/>
        <s v="Outros Financeiros" u="1"/>
        <s v="Assessoria Contábil" u="1"/>
        <s v="Despesas da Empresa" u="1"/>
        <s v="Capital de Giro" u="1"/>
        <s v="Outros Empresa" u="1"/>
        <s v="Educação (colégio, faculdade)" u="1"/>
        <s v="Rematrícula e Uniforme" u="1"/>
        <s v="Cursos (idiomas, música, teatro, etc.)" u="1"/>
        <s v="Vestuário / Calçados / Acessórios Dep" u="1"/>
        <s v="Academia / Esportes Dependentes" u="1"/>
        <s v="Mesada" u="1"/>
        <s v="Auxílio para parentes" u="1"/>
        <s v="Auxílio para amigos" u="1"/>
        <s v="Outros Dependentes" u="1"/>
        <s v="Doações" u="1"/>
        <s v="Loteria / Capitalização" u="1"/>
        <s v="Outros Diversos" u="1"/>
        <s v="Aplicações Financeiras" u="1"/>
        <s v="Previdência Privada Empresa" u="1"/>
        <s v="Previdência Privada Avulsa" u="1"/>
        <s v="Previdência Privada Dependentes" u="1"/>
        <s v="Outros Previdência" u="1"/>
        <s v="Seguro de Vida Principal Provedor" u="1"/>
        <s v="Seguro de Vida Cônjuge" u="1"/>
        <s v="Outros Seguro de Vida" u="1"/>
        <s v="DIT / Doenças graves" u="1"/>
        <s v="Responsabilidade Civil / Outros" u="1"/>
        <s v="Outros Outros Seguros" u="1"/>
        <s v="Financiamento Outros Bens" u="1"/>
        <s v="Consórcios" u="1"/>
        <s v="Outros Financiamento" u="1"/>
        <s v="Empréstimo Pessoal - Outros" u="1"/>
        <s v="Renegociações de Dívidas" u="1"/>
        <s v="Juros Cheque Especial" u="1"/>
        <s v="Juros Cartão de Crédito" u="1"/>
        <s v="Encargos Financeiros" u="1"/>
        <s v="Outros Empréstimo" u="1"/>
        <s v="Aplicação para Reserva" u="1"/>
        <s v="Projeto 2" u="1"/>
        <s v="Projeto 3" u="1"/>
      </sharedItems>
    </cacheField>
    <cacheField name="Meta" numFmtId="0">
      <sharedItems containsSemiMixedTypes="0" containsString="0" containsNumber="1" containsInteger="1" minValue="0" maxValue="0"/>
    </cacheField>
    <cacheField name="Totalgasto" numFmtId="2">
      <sharedItems containsSemiMixedTypes="0" containsString="0" containsNumber="1" minValue="0" maxValue="2927"/>
    </cacheField>
    <cacheField name="DifMeta" numFmtId="0">
      <sharedItems containsSemiMixedTypes="0" containsString="0" containsNumber="1" containsInteger="1" minValue="0" maxValue="0"/>
    </cacheField>
    <cacheField name="CONTA/CARTAO" numFmtId="0">
      <sharedItems containsBlank="1" count="4">
        <s v=""/>
        <m u="1"/>
        <s v="Conta" u="1"/>
        <s v="Cartão" u="1"/>
      </sharedItems>
    </cacheField>
    <cacheField name="INST SIMPLES" numFmtId="0">
      <sharedItems containsBlank="1" count="11">
        <s v=""/>
        <m u="1"/>
        <s v="Itaú" u="1"/>
        <s v="BB" u="1"/>
        <s v="C6 Black" u="1"/>
        <s v="Nubank" u="1"/>
        <s v="Santander" u="1"/>
        <s v="Porto Visa" u="1"/>
        <s v="C6" u="1"/>
        <s v="Inter PJ" u="1"/>
        <s v="Banco do Brasil" u="1"/>
      </sharedItems>
    </cacheField>
    <cacheField name="MÊS" numFmtId="0">
      <sharedItems containsBlank="1" count="20">
        <s v="Apr"/>
        <s v="May"/>
        <s v="Jun"/>
        <s v="Jul"/>
        <s v="Aug"/>
        <s v="Sep"/>
        <s v="Oct"/>
        <s v="Nov"/>
        <s v="Dec"/>
        <s v="Jan"/>
        <s v="Feb"/>
        <s v="Mar"/>
        <s v="Abr" u="1"/>
        <s v="Mai" u="1"/>
        <s v="Ago" u="1"/>
        <s v="Set" u="1"/>
        <s v="Out" u="1"/>
        <s v="Dez" u="1"/>
        <s v="Fev" u="1"/>
        <m u="1"/>
      </sharedItems>
    </cacheField>
    <cacheField name="ANO" numFmtId="0">
      <sharedItems containsSemiMixedTypes="0" containsString="0" containsNumber="1" containsInteger="1" minValue="1900" maxValue="2028" count="6">
        <n v="2026"/>
        <n v="2027"/>
        <n v="2028"/>
        <n v="1900"/>
        <n v="2024" u="1"/>
        <n v="2025" u="1"/>
      </sharedItems>
    </cacheField>
    <cacheField name="RESULTADO" numFmtId="0">
      <sharedItems/>
    </cacheField>
    <cacheField name="CARTAOFATURA" numFmtId="0">
      <sharedItems containsBlank="1" count="4">
        <s v=""/>
        <m u="1"/>
        <s v="Cartão" u="1"/>
        <s v="Fatura" u="1"/>
      </sharedItems>
    </cacheField>
    <cacheField name="SALDO" numFmtId="0">
      <sharedItems containsSemiMixedTypes="0" containsString="0" containsNumber="1" minValue="-3000" maxValue="5000"/>
    </cacheField>
  </cacheFields>
  <extLst>
    <ext xmlns:x14="http://schemas.microsoft.com/office/spreadsheetml/2009/9/main" uri="{725AE2AE-9491-48be-B2B4-4EB974FC3084}">
      <x14:pivotCacheDefinition pivotCacheId="186739026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8">
  <r>
    <d v="2026-03-02T00:00:00"/>
    <d v="2026-04-10T00:00:00"/>
    <s v="MORADIA - Água"/>
    <n v="250"/>
    <s v="Pix"/>
    <x v="0"/>
    <x v="0"/>
    <m/>
    <x v="0"/>
    <x v="0"/>
    <x v="0"/>
    <x v="0"/>
    <n v="0"/>
    <n v="138.44999999999999"/>
    <n v="0"/>
    <x v="0"/>
    <x v="0"/>
    <x v="0"/>
    <x v="0"/>
    <s v=""/>
    <x v="0"/>
    <n v="-250"/>
  </r>
  <r>
    <d v="2026-03-02T00:00:00"/>
    <d v="2026-04-10T00:00:00"/>
    <s v="TRANSPORTE - Combustível"/>
    <n v="150"/>
    <s v="Pix"/>
    <x v="0"/>
    <x v="0"/>
    <m/>
    <x v="0"/>
    <x v="0"/>
    <x v="1"/>
    <x v="1"/>
    <n v="0"/>
    <n v="150"/>
    <n v="0"/>
    <x v="0"/>
    <x v="0"/>
    <x v="0"/>
    <x v="0"/>
    <s v=""/>
    <x v="0"/>
    <n v="-150"/>
  </r>
  <r>
    <d v="2026-03-02T00:00:00"/>
    <d v="2026-04-10T00:00:00"/>
    <s v="COMUNICAÇÃO - Internet"/>
    <n v="45"/>
    <s v="Pix"/>
    <x v="1"/>
    <x v="0"/>
    <m/>
    <x v="0"/>
    <x v="0"/>
    <x v="2"/>
    <x v="2"/>
    <n v="0"/>
    <n v="16.5"/>
    <n v="0"/>
    <x v="0"/>
    <x v="0"/>
    <x v="0"/>
    <x v="0"/>
    <s v=""/>
    <x v="0"/>
    <n v="-45"/>
  </r>
  <r>
    <d v="2026-03-02T00:00:00"/>
    <d v="2026-04-10T00:00:00"/>
    <s v="PESSOAIS - INTERNET CELULAR"/>
    <n v="137"/>
    <s v="Pix"/>
    <x v="1"/>
    <x v="0"/>
    <m/>
    <x v="1"/>
    <x v="0"/>
    <x v="3"/>
    <x v="3"/>
    <n v="0"/>
    <n v="137"/>
    <n v="0"/>
    <x v="0"/>
    <x v="0"/>
    <x v="0"/>
    <x v="0"/>
    <s v=""/>
    <x v="0"/>
    <n v="-137"/>
  </r>
  <r>
    <d v="2026-03-02T00:00:00"/>
    <d v="2026-04-10T00:00:00"/>
    <s v="COMUNICAÇÃO - Apps (Netflix, Spotify, Skype, etc)"/>
    <n v="21"/>
    <s v="Pix"/>
    <x v="0"/>
    <x v="0"/>
    <s v="Spotfy"/>
    <x v="0"/>
    <x v="0"/>
    <x v="2"/>
    <x v="4"/>
    <n v="0"/>
    <n v="16.5"/>
    <n v="0"/>
    <x v="0"/>
    <x v="0"/>
    <x v="0"/>
    <x v="0"/>
    <s v=""/>
    <x v="0"/>
    <n v="-21"/>
  </r>
  <r>
    <d v="2026-03-02T00:00:00"/>
    <d v="2026-04-10T00:00:00"/>
    <s v="COMUNICAÇÃO - Apps (Netflix, Spotify, Skype, etc)"/>
    <n v="0"/>
    <s v="Pix"/>
    <x v="2"/>
    <x v="0"/>
    <s v="Kindle"/>
    <x v="0"/>
    <x v="0"/>
    <x v="2"/>
    <x v="4"/>
    <n v="0"/>
    <n v="16.5"/>
    <n v="0"/>
    <x v="0"/>
    <x v="0"/>
    <x v="0"/>
    <x v="0"/>
    <s v=""/>
    <x v="0"/>
    <n v="0"/>
  </r>
  <r>
    <d v="2026-03-02T00:00:00"/>
    <d v="2026-04-10T00:00:00"/>
    <s v="COMUNICAÇÃO - Apps (Netflix, Spotify, Skype, etc)"/>
    <n v="0"/>
    <s v="Pix"/>
    <x v="2"/>
    <x v="0"/>
    <s v="Ccanva"/>
    <x v="0"/>
    <x v="0"/>
    <x v="2"/>
    <x v="4"/>
    <n v="0"/>
    <n v="16.5"/>
    <n v="0"/>
    <x v="0"/>
    <x v="0"/>
    <x v="0"/>
    <x v="0"/>
    <s v=""/>
    <x v="0"/>
    <n v="0"/>
  </r>
  <r>
    <d v="2026-03-02T00:00:00"/>
    <d v="2026-04-10T00:00:00"/>
    <s v="EMPRÉSTIMO - Parcelamento Cartão de Crédito"/>
    <n v="122"/>
    <s v="Pix"/>
    <x v="1"/>
    <x v="0"/>
    <s v="Renner"/>
    <x v="1"/>
    <x v="0"/>
    <x v="4"/>
    <x v="5"/>
    <n v="0"/>
    <n v="268.5"/>
    <n v="0"/>
    <x v="0"/>
    <x v="0"/>
    <x v="0"/>
    <x v="0"/>
    <s v=""/>
    <x v="0"/>
    <n v="-122"/>
  </r>
  <r>
    <d v="2026-03-02T00:00:00"/>
    <d v="2026-04-10T00:00:00"/>
    <s v="LAZER - CELULAR"/>
    <n v="217"/>
    <s v="Pix"/>
    <x v="0"/>
    <x v="0"/>
    <m/>
    <x v="1"/>
    <x v="0"/>
    <x v="5"/>
    <x v="6"/>
    <n v="0"/>
    <n v="187.78933333333333"/>
    <n v="0"/>
    <x v="0"/>
    <x v="0"/>
    <x v="0"/>
    <x v="0"/>
    <s v=""/>
    <x v="0"/>
    <n v="-217"/>
  </r>
  <r>
    <d v="2026-03-02T00:00:00"/>
    <d v="2026-04-10T00:00:00"/>
    <s v="LAZER - FONTE, COOLER"/>
    <n v="67.8"/>
    <s v="Pix"/>
    <x v="0"/>
    <x v="0"/>
    <m/>
    <x v="1"/>
    <x v="0"/>
    <x v="5"/>
    <x v="7"/>
    <n v="0"/>
    <n v="187.78933333333333"/>
    <n v="0"/>
    <x v="0"/>
    <x v="0"/>
    <x v="0"/>
    <x v="0"/>
    <s v=""/>
    <x v="0"/>
    <n v="-67.8"/>
  </r>
  <r>
    <d v="2026-03-02T00:00:00"/>
    <d v="2026-04-10T00:00:00"/>
    <s v="EMPRÉSTIMO - Parcelamento Cartão de Crédito"/>
    <n v="415"/>
    <s v="Pix"/>
    <x v="1"/>
    <x v="0"/>
    <s v="Nubank"/>
    <x v="1"/>
    <x v="0"/>
    <x v="4"/>
    <x v="5"/>
    <n v="0"/>
    <n v="268.5"/>
    <n v="0"/>
    <x v="0"/>
    <x v="0"/>
    <x v="0"/>
    <x v="0"/>
    <s v=""/>
    <x v="0"/>
    <n v="-415"/>
  </r>
  <r>
    <d v="2026-03-02T00:00:00"/>
    <d v="2026-04-10T00:00:00"/>
    <s v="LAZER - CADEIRA"/>
    <n v="50"/>
    <s v="Pix"/>
    <x v="0"/>
    <x v="0"/>
    <m/>
    <x v="1"/>
    <x v="0"/>
    <x v="5"/>
    <x v="8"/>
    <n v="0"/>
    <n v="187.78933333333333"/>
    <n v="0"/>
    <x v="0"/>
    <x v="0"/>
    <x v="0"/>
    <x v="0"/>
    <s v=""/>
    <x v="0"/>
    <n v="-50"/>
  </r>
  <r>
    <d v="2026-03-02T00:00:00"/>
    <d v="2026-04-10T00:00:00"/>
    <s v="LAZER - PLACA MAE"/>
    <n v="150"/>
    <s v="Pix"/>
    <x v="0"/>
    <x v="0"/>
    <m/>
    <x v="1"/>
    <x v="0"/>
    <x v="5"/>
    <x v="9"/>
    <n v="0"/>
    <n v="187.78933333333333"/>
    <n v="0"/>
    <x v="0"/>
    <x v="0"/>
    <x v="0"/>
    <x v="0"/>
    <s v=""/>
    <x v="0"/>
    <n v="-150"/>
  </r>
  <r>
    <d v="2026-03-02T00:00:00"/>
    <d v="2026-04-10T00:00:00"/>
    <s v="LAZER - PROCESSADOR"/>
    <n v="136"/>
    <s v="Pix"/>
    <x v="0"/>
    <x v="0"/>
    <m/>
    <x v="1"/>
    <x v="0"/>
    <x v="5"/>
    <x v="10"/>
    <n v="0"/>
    <n v="187.78933333333333"/>
    <n v="0"/>
    <x v="0"/>
    <x v="0"/>
    <x v="0"/>
    <x v="0"/>
    <s v=""/>
    <x v="0"/>
    <n v="-136"/>
  </r>
  <r>
    <d v="2026-03-02T00:00:00"/>
    <d v="2026-04-10T00:00:00"/>
    <s v="LAZER - APPLE"/>
    <n v="0"/>
    <s v="Pix"/>
    <x v="2"/>
    <x v="0"/>
    <m/>
    <x v="1"/>
    <x v="0"/>
    <x v="5"/>
    <x v="11"/>
    <n v="0"/>
    <n v="187.78933333333333"/>
    <n v="0"/>
    <x v="0"/>
    <x v="0"/>
    <x v="0"/>
    <x v="0"/>
    <s v=""/>
    <x v="0"/>
    <n v="0"/>
  </r>
  <r>
    <d v="2026-03-02T00:00:00"/>
    <d v="2026-04-10T00:00:00"/>
    <s v="LAZER - PLACA MAE"/>
    <n v="120"/>
    <s v="Pix"/>
    <x v="0"/>
    <x v="0"/>
    <m/>
    <x v="1"/>
    <x v="0"/>
    <x v="5"/>
    <x v="9"/>
    <n v="0"/>
    <n v="187.78933333333333"/>
    <n v="0"/>
    <x v="0"/>
    <x v="0"/>
    <x v="0"/>
    <x v="0"/>
    <s v=""/>
    <x v="0"/>
    <n v="-120"/>
  </r>
  <r>
    <d v="2026-03-02T00:00:00"/>
    <d v="2026-04-10T00:00:00"/>
    <s v="LAZER - SHOPEE"/>
    <n v="75.709999999999994"/>
    <s v="Pix"/>
    <x v="2"/>
    <x v="0"/>
    <m/>
    <x v="1"/>
    <x v="0"/>
    <x v="5"/>
    <x v="12"/>
    <n v="0"/>
    <n v="187.78933333333333"/>
    <n v="0"/>
    <x v="0"/>
    <x v="0"/>
    <x v="0"/>
    <x v="0"/>
    <s v=""/>
    <x v="0"/>
    <n v="-75.709999999999994"/>
  </r>
  <r>
    <d v="2026-03-02T00:00:00"/>
    <d v="2026-04-10T00:00:00"/>
    <s v="LAZER - SHEIN"/>
    <n v="67.28"/>
    <s v="Pix"/>
    <x v="2"/>
    <x v="0"/>
    <m/>
    <x v="1"/>
    <x v="0"/>
    <x v="5"/>
    <x v="13"/>
    <n v="0"/>
    <n v="187.78933333333333"/>
    <n v="0"/>
    <x v="0"/>
    <x v="0"/>
    <x v="0"/>
    <x v="0"/>
    <s v=""/>
    <x v="0"/>
    <n v="-67.28"/>
  </r>
  <r>
    <d v="2026-03-02T00:00:00"/>
    <d v="2026-04-10T00:00:00"/>
    <s v="LAZER - TECLADO"/>
    <n v="89"/>
    <s v="Pix"/>
    <x v="0"/>
    <x v="0"/>
    <m/>
    <x v="1"/>
    <x v="0"/>
    <x v="5"/>
    <x v="14"/>
    <n v="0"/>
    <n v="187.78933333333333"/>
    <n v="0"/>
    <x v="0"/>
    <x v="0"/>
    <x v="0"/>
    <x v="0"/>
    <s v=""/>
    <x v="0"/>
    <n v="-89"/>
  </r>
  <r>
    <d v="2026-03-02T00:00:00"/>
    <d v="2026-04-10T00:00:00"/>
    <s v="LAZER - ANIVERSARIO DE NAMORO"/>
    <n v="320"/>
    <s v="Pix"/>
    <x v="2"/>
    <x v="0"/>
    <m/>
    <x v="1"/>
    <x v="0"/>
    <x v="5"/>
    <x v="15"/>
    <n v="0"/>
    <n v="187.78933333333333"/>
    <n v="0"/>
    <x v="0"/>
    <x v="0"/>
    <x v="0"/>
    <x v="0"/>
    <s v=""/>
    <x v="0"/>
    <n v="-320"/>
  </r>
  <r>
    <d v="2026-03-02T00:00:00"/>
    <d v="2026-04-10T00:00:00"/>
    <s v="LAZER - DIA DIA(Yasmin)"/>
    <n v="191.05"/>
    <s v="Pix"/>
    <x v="2"/>
    <x v="0"/>
    <m/>
    <x v="1"/>
    <x v="0"/>
    <x v="5"/>
    <x v="16"/>
    <n v="0"/>
    <n v="187.78933333333333"/>
    <n v="0"/>
    <x v="0"/>
    <x v="0"/>
    <x v="0"/>
    <x v="0"/>
    <s v=""/>
    <x v="0"/>
    <n v="-191.05"/>
  </r>
  <r>
    <d v="2026-03-02T00:00:00"/>
    <d v="2026-04-10T00:00:00"/>
    <s v="LAZER - DROGASIL(YASMIN)"/>
    <n v="133"/>
    <s v="Pix"/>
    <x v="2"/>
    <x v="0"/>
    <m/>
    <x v="1"/>
    <x v="0"/>
    <x v="5"/>
    <x v="17"/>
    <n v="0"/>
    <n v="187.78933333333333"/>
    <n v="0"/>
    <x v="0"/>
    <x v="0"/>
    <x v="0"/>
    <x v="0"/>
    <s v=""/>
    <x v="0"/>
    <n v="-133"/>
  </r>
  <r>
    <d v="2026-03-02T00:00:00"/>
    <d v="2026-04-10T00:00:00"/>
    <s v="LAZER - TECLADO E MOUSE"/>
    <n v="200"/>
    <s v="Pix"/>
    <x v="0"/>
    <x v="0"/>
    <m/>
    <x v="1"/>
    <x v="0"/>
    <x v="5"/>
    <x v="18"/>
    <n v="0"/>
    <n v="187.78933333333333"/>
    <n v="0"/>
    <x v="0"/>
    <x v="0"/>
    <x v="0"/>
    <x v="0"/>
    <s v=""/>
    <x v="0"/>
    <n v="-200"/>
  </r>
  <r>
    <d v="2026-03-02T00:00:00"/>
    <d v="2026-04-10T00:00:00"/>
    <s v="LAZER - ESTRORNO TECLADO E MOUSE"/>
    <n v="1000"/>
    <s v="Pix"/>
    <x v="0"/>
    <x v="0"/>
    <m/>
    <x v="1"/>
    <x v="1"/>
    <x v="5"/>
    <x v="19"/>
    <n v="0"/>
    <n v="187.78933333333333"/>
    <n v="0"/>
    <x v="0"/>
    <x v="0"/>
    <x v="0"/>
    <x v="0"/>
    <s v=""/>
    <x v="0"/>
    <n v="1000"/>
  </r>
  <r>
    <d v="2026-03-16T00:00:00"/>
    <d v="2026-04-10T00:00:00"/>
    <s v="RENDA PRINCIPAL - Salário Principal"/>
    <n v="2400"/>
    <s v="Pix"/>
    <x v="1"/>
    <x v="0"/>
    <m/>
    <x v="0"/>
    <x v="1"/>
    <x v="6"/>
    <x v="20"/>
    <n v="0"/>
    <n v="2400"/>
    <n v="0"/>
    <x v="0"/>
    <x v="0"/>
    <x v="0"/>
    <x v="0"/>
    <s v=""/>
    <x v="0"/>
    <n v="2400"/>
  </r>
  <r>
    <d v="2026-03-16T00:00:00"/>
    <d v="2026-04-10T00:00:00"/>
    <s v="RENDA EXTRA - Outras fontes de renda"/>
    <n v="100"/>
    <s v="Pix"/>
    <x v="1"/>
    <x v="0"/>
    <m/>
    <x v="0"/>
    <x v="1"/>
    <x v="7"/>
    <x v="21"/>
    <n v="0"/>
    <n v="130.785"/>
    <n v="0"/>
    <x v="0"/>
    <x v="0"/>
    <x v="0"/>
    <x v="0"/>
    <s v=""/>
    <x v="0"/>
    <n v="100"/>
  </r>
  <r>
    <d v="2026-03-16T00:00:00"/>
    <d v="2026-04-10T00:00:00"/>
    <s v="RENDA EXTRA - Outras fontes de renda"/>
    <n v="161.57"/>
    <s v="Pix"/>
    <x v="2"/>
    <x v="0"/>
    <m/>
    <x v="0"/>
    <x v="1"/>
    <x v="7"/>
    <x v="21"/>
    <n v="0"/>
    <n v="130.785"/>
    <n v="0"/>
    <x v="0"/>
    <x v="0"/>
    <x v="0"/>
    <x v="0"/>
    <s v=""/>
    <x v="0"/>
    <n v="161.57"/>
  </r>
  <r>
    <d v="2026-03-16T00:00:00"/>
    <d v="2026-04-10T00:00:00"/>
    <s v="ALIMENTAÇÃO - Lanches &amp; Snacks"/>
    <n v="46.89"/>
    <s v="Pix"/>
    <x v="2"/>
    <x v="0"/>
    <m/>
    <x v="0"/>
    <x v="0"/>
    <x v="8"/>
    <x v="22"/>
    <n v="0"/>
    <n v="47.814999999999998"/>
    <n v="0"/>
    <x v="0"/>
    <x v="0"/>
    <x v="0"/>
    <x v="0"/>
    <s v=""/>
    <x v="0"/>
    <n v="-46.89"/>
  </r>
  <r>
    <d v="2026-03-16T00:00:00"/>
    <d v="2026-04-10T00:00:00"/>
    <s v="SAÚDE - Medicamentos / Farmácia"/>
    <n v="45.88"/>
    <s v="Pix"/>
    <x v="2"/>
    <x v="0"/>
    <m/>
    <x v="0"/>
    <x v="0"/>
    <x v="9"/>
    <x v="23"/>
    <n v="0"/>
    <n v="64.41"/>
    <n v="0"/>
    <x v="0"/>
    <x v="0"/>
    <x v="0"/>
    <x v="0"/>
    <s v=""/>
    <x v="0"/>
    <n v="-45.88"/>
  </r>
  <r>
    <d v="2026-03-16T00:00:00"/>
    <d v="2026-04-10T00:00:00"/>
    <s v="SAÚDE - Medicamentos / Farmácia"/>
    <n v="14.89"/>
    <s v="Pix"/>
    <x v="2"/>
    <x v="0"/>
    <m/>
    <x v="0"/>
    <x v="0"/>
    <x v="9"/>
    <x v="23"/>
    <n v="0"/>
    <n v="64.41"/>
    <n v="0"/>
    <x v="0"/>
    <x v="0"/>
    <x v="0"/>
    <x v="0"/>
    <s v=""/>
    <x v="0"/>
    <n v="-14.89"/>
  </r>
  <r>
    <d v="2026-03-16T00:00:00"/>
    <d v="2026-04-10T00:00:00"/>
    <s v="MORADIA - Utensílios e Eletrodomésticos"/>
    <n v="26.9"/>
    <s v="Pix"/>
    <x v="2"/>
    <x v="0"/>
    <s v="BIG UTILIDADE"/>
    <x v="0"/>
    <x v="0"/>
    <x v="0"/>
    <x v="24"/>
    <n v="0"/>
    <n v="138.44999999999999"/>
    <n v="0"/>
    <x v="0"/>
    <x v="0"/>
    <x v="0"/>
    <x v="0"/>
    <s v=""/>
    <x v="0"/>
    <n v="-26.9"/>
  </r>
  <r>
    <d v="2026-03-16T00:00:00"/>
    <d v="2026-04-10T00:00:00"/>
    <s v="SAÚDE - Medicamentos / Farmácia"/>
    <n v="62.89"/>
    <s v="Pix"/>
    <x v="2"/>
    <x v="0"/>
    <m/>
    <x v="0"/>
    <x v="0"/>
    <x v="9"/>
    <x v="23"/>
    <n v="0"/>
    <n v="64.41"/>
    <n v="0"/>
    <x v="0"/>
    <x v="0"/>
    <x v="0"/>
    <x v="0"/>
    <s v=""/>
    <x v="0"/>
    <n v="-62.89"/>
  </r>
  <r>
    <d v="2026-03-16T00:00:00"/>
    <d v="2026-04-10T00:00:00"/>
    <s v="SAÚDE - Medicamentos / Farmácia"/>
    <n v="133.97999999999999"/>
    <s v="Pix"/>
    <x v="2"/>
    <x v="0"/>
    <s v="Drogasil"/>
    <x v="0"/>
    <x v="0"/>
    <x v="9"/>
    <x v="23"/>
    <n v="0"/>
    <n v="64.41"/>
    <n v="0"/>
    <x v="0"/>
    <x v="0"/>
    <x v="0"/>
    <x v="0"/>
    <s v=""/>
    <x v="0"/>
    <n v="-133.97999999999999"/>
  </r>
  <r>
    <d v="2026-03-16T00:00:00"/>
    <d v="2026-04-10T00:00:00"/>
    <s v="DEPENDENTES - Presentes / Festa de Aniversário"/>
    <n v="71.75"/>
    <s v="Pix"/>
    <x v="2"/>
    <x v="0"/>
    <s v="Aniversario"/>
    <x v="0"/>
    <x v="0"/>
    <x v="10"/>
    <x v="25"/>
    <n v="0"/>
    <n v="71.75"/>
    <n v="0"/>
    <x v="0"/>
    <x v="0"/>
    <x v="0"/>
    <x v="0"/>
    <s v=""/>
    <x v="0"/>
    <n v="-71.75"/>
  </r>
  <r>
    <d v="2026-03-16T00:00:00"/>
    <d v="2026-04-10T00:00:00"/>
    <s v="DIVERSOS - Presentes"/>
    <n v="89.56"/>
    <s v="Pix"/>
    <x v="2"/>
    <x v="0"/>
    <s v="LANGERIE"/>
    <x v="0"/>
    <x v="0"/>
    <x v="11"/>
    <x v="26"/>
    <n v="0"/>
    <n v="89.56"/>
    <n v="0"/>
    <x v="0"/>
    <x v="0"/>
    <x v="0"/>
    <x v="0"/>
    <s v=""/>
    <x v="0"/>
    <n v="-89.56"/>
  </r>
  <r>
    <d v="2026-03-22T00:00:00"/>
    <d v="2026-04-10T00:00:00"/>
    <s v="ALIMENTAÇÃO - Supermercado"/>
    <n v="48.74"/>
    <s v="Credito"/>
    <x v="2"/>
    <x v="1"/>
    <s v="NILZE"/>
    <x v="0"/>
    <x v="0"/>
    <x v="8"/>
    <x v="27"/>
    <n v="0"/>
    <n v="47.814999999999998"/>
    <n v="0"/>
    <x v="0"/>
    <x v="0"/>
    <x v="0"/>
    <x v="0"/>
    <s v=""/>
    <x v="0"/>
    <n v="-48.74"/>
  </r>
  <r>
    <d v="2026-04-01T00:00:00"/>
    <d v="2026-05-01T00:00:00"/>
    <s v="RENDA PRINCIPAL - Salário Principal"/>
    <n v="2900"/>
    <m/>
    <x v="1"/>
    <x v="1"/>
    <m/>
    <x v="0"/>
    <x v="1"/>
    <x v="6"/>
    <x v="20"/>
    <n v="0"/>
    <n v="2900"/>
    <n v="0"/>
    <x v="0"/>
    <x v="0"/>
    <x v="1"/>
    <x v="0"/>
    <s v=""/>
    <x v="0"/>
    <n v="2900"/>
  </r>
  <r>
    <d v="2026-04-01T00:00:00"/>
    <d v="2026-05-09T00:00:00"/>
    <s v="LAZER - Outros Lazer"/>
    <n v="90"/>
    <s v="Pix"/>
    <x v="0"/>
    <x v="1"/>
    <s v="OVO DE PASCOA 2/4"/>
    <x v="0"/>
    <x v="0"/>
    <x v="5"/>
    <x v="28"/>
    <n v="0"/>
    <n v="347.91499999999996"/>
    <n v="0"/>
    <x v="0"/>
    <x v="0"/>
    <x v="1"/>
    <x v="0"/>
    <s v=""/>
    <x v="0"/>
    <n v="-90"/>
  </r>
  <r>
    <d v="2026-04-01T00:00:00"/>
    <d v="2026-05-10T00:00:00"/>
    <s v="LAZER - SHEIN"/>
    <n v="67.28"/>
    <s v="Pix"/>
    <x v="2"/>
    <x v="1"/>
    <s v="YASMIN"/>
    <x v="1"/>
    <x v="0"/>
    <x v="5"/>
    <x v="13"/>
    <n v="0"/>
    <n v="347.91499999999996"/>
    <n v="0"/>
    <x v="0"/>
    <x v="0"/>
    <x v="1"/>
    <x v="0"/>
    <s v=""/>
    <x v="0"/>
    <n v="-67.28"/>
  </r>
  <r>
    <d v="2026-04-01T00:00:00"/>
    <d v="2026-05-10T00:00:00"/>
    <s v="EMPRÉSTIMO - Empréstimo Pessoal - Banco"/>
    <n v="188.68"/>
    <s v="Pix"/>
    <x v="2"/>
    <x v="1"/>
    <s v="Nubank Yasmin"/>
    <x v="1"/>
    <x v="0"/>
    <x v="4"/>
    <x v="29"/>
    <n v="0"/>
    <n v="395.536"/>
    <n v="0"/>
    <x v="0"/>
    <x v="0"/>
    <x v="1"/>
    <x v="0"/>
    <s v=""/>
    <x v="0"/>
    <n v="-188.68"/>
  </r>
  <r>
    <d v="2026-04-02T00:00:00"/>
    <d v="2026-05-10T00:00:00"/>
    <s v="MORADIA - Água"/>
    <n v="250"/>
    <m/>
    <x v="0"/>
    <x v="1"/>
    <m/>
    <x v="0"/>
    <x v="0"/>
    <x v="0"/>
    <x v="0"/>
    <n v="0"/>
    <n v="250"/>
    <n v="0"/>
    <x v="0"/>
    <x v="0"/>
    <x v="1"/>
    <x v="0"/>
    <s v=""/>
    <x v="0"/>
    <n v="-250"/>
  </r>
  <r>
    <d v="2026-04-02T00:00:00"/>
    <d v="2026-05-10T00:00:00"/>
    <s v="TRANSPORTE - Combustível"/>
    <n v="150"/>
    <s v="Pix"/>
    <x v="0"/>
    <x v="1"/>
    <m/>
    <x v="0"/>
    <x v="0"/>
    <x v="1"/>
    <x v="1"/>
    <n v="0"/>
    <n v="150"/>
    <n v="0"/>
    <x v="0"/>
    <x v="0"/>
    <x v="1"/>
    <x v="0"/>
    <s v=""/>
    <x v="0"/>
    <n v="-150"/>
  </r>
  <r>
    <d v="2026-04-02T00:00:00"/>
    <d v="2026-05-10T00:00:00"/>
    <s v="COMUNICAÇÃO - Internet"/>
    <n v="45"/>
    <s v="Pix"/>
    <x v="1"/>
    <x v="1"/>
    <m/>
    <x v="0"/>
    <x v="0"/>
    <x v="2"/>
    <x v="2"/>
    <n v="0"/>
    <n v="29.5"/>
    <n v="0"/>
    <x v="0"/>
    <x v="0"/>
    <x v="1"/>
    <x v="0"/>
    <s v=""/>
    <x v="0"/>
    <n v="-45"/>
  </r>
  <r>
    <d v="2026-04-02T00:00:00"/>
    <d v="2026-05-10T00:00:00"/>
    <s v="PESSOAIS - INTERNET CELULAR"/>
    <n v="137"/>
    <s v="Pix"/>
    <x v="1"/>
    <x v="1"/>
    <m/>
    <x v="1"/>
    <x v="0"/>
    <x v="3"/>
    <x v="3"/>
    <n v="0"/>
    <n v="137"/>
    <n v="0"/>
    <x v="0"/>
    <x v="0"/>
    <x v="1"/>
    <x v="0"/>
    <s v=""/>
    <x v="0"/>
    <n v="-137"/>
  </r>
  <r>
    <d v="2026-04-02T00:00:00"/>
    <d v="2026-05-10T00:00:00"/>
    <s v="COMUNICAÇÃO - Apps (Netflix, Spotify, Skype, etc)"/>
    <n v="14"/>
    <s v="Pix"/>
    <x v="0"/>
    <x v="1"/>
    <s v="Spotfy"/>
    <x v="0"/>
    <x v="0"/>
    <x v="2"/>
    <x v="4"/>
    <n v="0"/>
    <n v="29.5"/>
    <n v="0"/>
    <x v="0"/>
    <x v="0"/>
    <x v="1"/>
    <x v="0"/>
    <s v=""/>
    <x v="0"/>
    <n v="-14"/>
  </r>
  <r>
    <d v="2026-04-02T00:00:00"/>
    <d v="2026-05-10T00:00:00"/>
    <s v="EMPRÉSTIMO - Parcelamento Cartão de Crédito"/>
    <n v="122"/>
    <s v="Pix"/>
    <x v="1"/>
    <x v="1"/>
    <s v="Renner"/>
    <x v="1"/>
    <x v="0"/>
    <x v="4"/>
    <x v="5"/>
    <n v="0"/>
    <n v="395.536"/>
    <n v="0"/>
    <x v="0"/>
    <x v="0"/>
    <x v="1"/>
    <x v="0"/>
    <s v=""/>
    <x v="0"/>
    <n v="-122"/>
  </r>
  <r>
    <d v="2026-04-02T00:00:00"/>
    <d v="2026-05-10T00:00:00"/>
    <s v="LAZER - CELULAR"/>
    <n v="217"/>
    <s v="Pix"/>
    <x v="0"/>
    <x v="1"/>
    <m/>
    <x v="1"/>
    <x v="0"/>
    <x v="5"/>
    <x v="6"/>
    <n v="0"/>
    <n v="347.91499999999996"/>
    <n v="0"/>
    <x v="0"/>
    <x v="0"/>
    <x v="1"/>
    <x v="0"/>
    <s v=""/>
    <x v="0"/>
    <n v="-217"/>
  </r>
  <r>
    <d v="2026-04-02T00:00:00"/>
    <d v="2026-05-10T00:00:00"/>
    <s v="LAZER - FONTE, COOLER"/>
    <n v="67.8"/>
    <s v="Pix"/>
    <x v="0"/>
    <x v="1"/>
    <m/>
    <x v="1"/>
    <x v="0"/>
    <x v="5"/>
    <x v="7"/>
    <n v="0"/>
    <n v="347.91499999999996"/>
    <n v="0"/>
    <x v="0"/>
    <x v="0"/>
    <x v="1"/>
    <x v="0"/>
    <s v=""/>
    <x v="0"/>
    <n v="-67.8"/>
  </r>
  <r>
    <d v="2026-04-02T00:00:00"/>
    <d v="2026-05-10T00:00:00"/>
    <s v="EMPRÉSTIMO - Parcelamento Cartão de Crédito"/>
    <n v="276"/>
    <s v="Pix"/>
    <x v="1"/>
    <x v="1"/>
    <s v="Nubank"/>
    <x v="1"/>
    <x v="0"/>
    <x v="4"/>
    <x v="5"/>
    <n v="0"/>
    <n v="395.536"/>
    <n v="0"/>
    <x v="0"/>
    <x v="0"/>
    <x v="1"/>
    <x v="0"/>
    <s v=""/>
    <x v="0"/>
    <n v="-276"/>
  </r>
  <r>
    <d v="2026-04-02T00:00:00"/>
    <d v="2026-05-10T00:00:00"/>
    <s v="LAZER - CADEIRA"/>
    <n v="50"/>
    <s v="Pix"/>
    <x v="0"/>
    <x v="1"/>
    <m/>
    <x v="1"/>
    <x v="0"/>
    <x v="5"/>
    <x v="8"/>
    <n v="0"/>
    <n v="347.91499999999996"/>
    <n v="0"/>
    <x v="0"/>
    <x v="0"/>
    <x v="1"/>
    <x v="0"/>
    <s v=""/>
    <x v="0"/>
    <n v="-50"/>
  </r>
  <r>
    <d v="2026-04-02T00:00:00"/>
    <d v="2026-05-10T00:00:00"/>
    <s v="LAZER - PLACA MAE"/>
    <n v="150"/>
    <s v="Pix"/>
    <x v="0"/>
    <x v="1"/>
    <m/>
    <x v="1"/>
    <x v="0"/>
    <x v="5"/>
    <x v="9"/>
    <n v="0"/>
    <n v="347.91499999999996"/>
    <n v="0"/>
    <x v="0"/>
    <x v="0"/>
    <x v="1"/>
    <x v="0"/>
    <s v=""/>
    <x v="0"/>
    <n v="-150"/>
  </r>
  <r>
    <d v="2026-04-02T00:00:00"/>
    <d v="2026-05-10T00:00:00"/>
    <s v="LAZER - PROCESSADOR"/>
    <n v="136"/>
    <s v="Pix"/>
    <x v="0"/>
    <x v="1"/>
    <m/>
    <x v="1"/>
    <x v="0"/>
    <x v="5"/>
    <x v="10"/>
    <n v="0"/>
    <n v="347.91499999999996"/>
    <n v="0"/>
    <x v="0"/>
    <x v="0"/>
    <x v="1"/>
    <x v="0"/>
    <s v=""/>
    <x v="0"/>
    <n v="-136"/>
  </r>
  <r>
    <d v="2026-04-02T00:00:00"/>
    <d v="2026-05-10T00:00:00"/>
    <s v="LAZER - APPLE"/>
    <n v="66.900000000000006"/>
    <s v="Pix"/>
    <x v="2"/>
    <x v="1"/>
    <m/>
    <x v="1"/>
    <x v="0"/>
    <x v="5"/>
    <x v="11"/>
    <n v="0"/>
    <n v="347.91499999999996"/>
    <n v="0"/>
    <x v="0"/>
    <x v="0"/>
    <x v="1"/>
    <x v="0"/>
    <s v=""/>
    <x v="0"/>
    <n v="-66.900000000000006"/>
  </r>
  <r>
    <d v="2026-04-02T00:00:00"/>
    <d v="2026-05-10T00:00:00"/>
    <s v="LAZER - PLACA MAE"/>
    <n v="120"/>
    <s v="Pix"/>
    <x v="0"/>
    <x v="1"/>
    <m/>
    <x v="1"/>
    <x v="0"/>
    <x v="5"/>
    <x v="9"/>
    <n v="0"/>
    <n v="347.91499999999996"/>
    <n v="0"/>
    <x v="0"/>
    <x v="0"/>
    <x v="1"/>
    <x v="0"/>
    <s v=""/>
    <x v="0"/>
    <n v="-120"/>
  </r>
  <r>
    <d v="2026-04-02T00:00:00"/>
    <d v="2026-05-10T00:00:00"/>
    <s v="RENDA EXTRA - Outras fontes de renda"/>
    <n v="100"/>
    <s v="Pix"/>
    <x v="3"/>
    <x v="1"/>
    <s v="SAMUEL"/>
    <x v="0"/>
    <x v="1"/>
    <x v="7"/>
    <x v="21"/>
    <n v="0"/>
    <n v="2550"/>
    <n v="0"/>
    <x v="0"/>
    <x v="0"/>
    <x v="1"/>
    <x v="0"/>
    <s v=""/>
    <x v="0"/>
    <n v="100"/>
  </r>
  <r>
    <d v="2026-04-02T00:00:00"/>
    <d v="2026-05-10T00:00:00"/>
    <s v="LAZER - Outros Lazer"/>
    <n v="130"/>
    <s v="Pix"/>
    <x v="2"/>
    <x v="1"/>
    <s v="Aniversario Yasmin"/>
    <x v="0"/>
    <x v="0"/>
    <x v="5"/>
    <x v="28"/>
    <n v="0"/>
    <n v="347.91499999999996"/>
    <n v="0"/>
    <x v="0"/>
    <x v="0"/>
    <x v="1"/>
    <x v="0"/>
    <s v=""/>
    <x v="0"/>
    <n v="-130"/>
  </r>
  <r>
    <d v="2026-04-02T00:00:00"/>
    <d v="2026-05-10T00:00:00"/>
    <s v="LAZER - Outros Lazer"/>
    <n v="80"/>
    <s v="Pix"/>
    <x v="2"/>
    <x v="1"/>
    <s v="Bolo Aniverssário da Yasmin"/>
    <x v="0"/>
    <x v="0"/>
    <x v="5"/>
    <x v="28"/>
    <n v="0"/>
    <n v="347.91499999999996"/>
    <n v="0"/>
    <x v="0"/>
    <x v="0"/>
    <x v="1"/>
    <x v="0"/>
    <s v=""/>
    <x v="0"/>
    <n v="-80"/>
  </r>
  <r>
    <d v="2026-04-02T00:00:00"/>
    <d v="2026-05-10T00:00:00"/>
    <s v="RENDA EXTRA - Outras fontes de renda"/>
    <n v="5000"/>
    <s v="Pix"/>
    <x v="4"/>
    <x v="1"/>
    <s v="Emprestimo Creditas"/>
    <x v="0"/>
    <x v="1"/>
    <x v="7"/>
    <x v="21"/>
    <n v="0"/>
    <n v="2550"/>
    <n v="0"/>
    <x v="0"/>
    <x v="0"/>
    <x v="1"/>
    <x v="0"/>
    <s v=""/>
    <x v="0"/>
    <n v="5000"/>
  </r>
  <r>
    <d v="2026-04-13T00:00:00"/>
    <d v="2026-05-10T00:00:00"/>
    <s v="EMPRÉSTIMO - Empréstimo Pessoal - Banco"/>
    <n v="391"/>
    <s v="Creditas"/>
    <x v="5"/>
    <x v="1"/>
    <s v="CONSIGNADO"/>
    <x v="1"/>
    <x v="0"/>
    <x v="4"/>
    <x v="29"/>
    <n v="0"/>
    <n v="395.536"/>
    <n v="0"/>
    <x v="0"/>
    <x v="0"/>
    <x v="1"/>
    <x v="0"/>
    <s v=""/>
    <x v="0"/>
    <n v="-391"/>
  </r>
  <r>
    <d v="2026-04-13T00:00:00"/>
    <d v="2026-05-10T00:00:00"/>
    <s v="LAZER - SHEIN"/>
    <n v="3000"/>
    <s v="Pix"/>
    <x v="2"/>
    <x v="1"/>
    <s v="CONSIGNADO"/>
    <x v="1"/>
    <x v="0"/>
    <x v="5"/>
    <x v="13"/>
    <n v="0"/>
    <n v="347.91499999999996"/>
    <n v="0"/>
    <x v="0"/>
    <x v="0"/>
    <x v="1"/>
    <x v="0"/>
    <s v=""/>
    <x v="0"/>
    <n v="-3000"/>
  </r>
  <r>
    <d v="2026-05-01T00:00:00"/>
    <d v="2026-06-01T00:00:00"/>
    <s v="EMPRÉSTIMO - Empréstimo Pessoal - Banco"/>
    <n v="188.68"/>
    <s v="Pix"/>
    <x v="2"/>
    <x v="0"/>
    <s v="Nubank"/>
    <x v="1"/>
    <x v="0"/>
    <x v="4"/>
    <x v="29"/>
    <n v="0"/>
    <n v="289.84000000000003"/>
    <n v="0"/>
    <x v="0"/>
    <x v="0"/>
    <x v="2"/>
    <x v="0"/>
    <s v=""/>
    <x v="0"/>
    <n v="-188.68"/>
  </r>
  <r>
    <d v="2026-05-01T00:00:00"/>
    <d v="2026-06-01T00:00:00"/>
    <s v="MORADIA - Água"/>
    <n v="250"/>
    <s v="Pix"/>
    <x v="0"/>
    <x v="0"/>
    <m/>
    <x v="0"/>
    <x v="0"/>
    <x v="0"/>
    <x v="0"/>
    <n v="0"/>
    <n v="250"/>
    <n v="0"/>
    <x v="0"/>
    <x v="0"/>
    <x v="2"/>
    <x v="0"/>
    <s v=""/>
    <x v="0"/>
    <n v="-250"/>
  </r>
  <r>
    <d v="2026-05-01T00:00:00"/>
    <d v="2026-06-01T00:00:00"/>
    <s v="TRANSPORTE - Combustível"/>
    <n v="150"/>
    <s v="Pix"/>
    <x v="0"/>
    <x v="0"/>
    <m/>
    <x v="0"/>
    <x v="0"/>
    <x v="1"/>
    <x v="1"/>
    <n v="0"/>
    <n v="150"/>
    <n v="0"/>
    <x v="0"/>
    <x v="0"/>
    <x v="2"/>
    <x v="0"/>
    <s v=""/>
    <x v="0"/>
    <n v="-150"/>
  </r>
  <r>
    <d v="2026-05-01T00:00:00"/>
    <d v="2026-06-01T00:00:00"/>
    <s v="COMUNICAÇÃO - Internet"/>
    <n v="45"/>
    <s v="Pix"/>
    <x v="1"/>
    <x v="0"/>
    <m/>
    <x v="0"/>
    <x v="0"/>
    <x v="2"/>
    <x v="2"/>
    <n v="0"/>
    <n v="31.475000000000001"/>
    <n v="0"/>
    <x v="0"/>
    <x v="0"/>
    <x v="2"/>
    <x v="0"/>
    <s v=""/>
    <x v="0"/>
    <n v="-45"/>
  </r>
  <r>
    <d v="2026-05-01T00:00:00"/>
    <d v="2026-06-01T00:00:00"/>
    <s v="PESSOAIS - INTERNET CELULAR"/>
    <n v="137"/>
    <s v="Pix"/>
    <x v="1"/>
    <x v="0"/>
    <m/>
    <x v="1"/>
    <x v="0"/>
    <x v="3"/>
    <x v="3"/>
    <n v="0"/>
    <n v="137"/>
    <n v="0"/>
    <x v="0"/>
    <x v="0"/>
    <x v="2"/>
    <x v="0"/>
    <s v=""/>
    <x v="0"/>
    <n v="-137"/>
  </r>
  <r>
    <d v="2026-05-01T00:00:00"/>
    <d v="2026-06-01T00:00:00"/>
    <s v="COMUNICAÇÃO - Apps (Netflix, Spotify, Skype, etc)"/>
    <n v="21"/>
    <s v="Pix"/>
    <x v="1"/>
    <x v="0"/>
    <m/>
    <x v="0"/>
    <x v="0"/>
    <x v="2"/>
    <x v="4"/>
    <n v="0"/>
    <n v="31.475000000000001"/>
    <n v="0"/>
    <x v="0"/>
    <x v="0"/>
    <x v="2"/>
    <x v="0"/>
    <s v=""/>
    <x v="0"/>
    <n v="-21"/>
  </r>
  <r>
    <d v="2026-05-01T00:00:00"/>
    <d v="2026-06-01T00:00:00"/>
    <s v="COMUNICAÇÃO - Apps (Netflix, Spotify, Skype, etc)"/>
    <n v="24.9"/>
    <s v="Pix"/>
    <x v="1"/>
    <x v="0"/>
    <m/>
    <x v="0"/>
    <x v="0"/>
    <x v="2"/>
    <x v="4"/>
    <n v="0"/>
    <n v="31.475000000000001"/>
    <n v="0"/>
    <x v="0"/>
    <x v="0"/>
    <x v="2"/>
    <x v="0"/>
    <s v=""/>
    <x v="0"/>
    <n v="-24.9"/>
  </r>
  <r>
    <d v="2026-05-01T00:00:00"/>
    <d v="2026-06-01T00:00:00"/>
    <s v="COMUNICAÇÃO - Apps (Netflix, Spotify, Skype, etc)"/>
    <n v="35"/>
    <s v="Pix"/>
    <x v="1"/>
    <x v="0"/>
    <m/>
    <x v="0"/>
    <x v="0"/>
    <x v="2"/>
    <x v="4"/>
    <n v="0"/>
    <n v="31.475000000000001"/>
    <n v="0"/>
    <x v="0"/>
    <x v="0"/>
    <x v="2"/>
    <x v="0"/>
    <s v=""/>
    <x v="0"/>
    <n v="-35"/>
  </r>
  <r>
    <d v="2026-05-01T00:00:00"/>
    <d v="2026-06-01T00:00:00"/>
    <s v="LAZER - CELULAR"/>
    <n v="217"/>
    <s v="Pix"/>
    <x v="0"/>
    <x v="0"/>
    <m/>
    <x v="1"/>
    <x v="0"/>
    <x v="5"/>
    <x v="6"/>
    <n v="0"/>
    <n v="112.21249999999999"/>
    <n v="0"/>
    <x v="0"/>
    <x v="0"/>
    <x v="2"/>
    <x v="0"/>
    <s v=""/>
    <x v="0"/>
    <n v="-217"/>
  </r>
  <r>
    <d v="2026-05-01T00:00:00"/>
    <d v="2026-06-01T00:00:00"/>
    <s v="LAZER - FONTE, COOLER"/>
    <n v="67.8"/>
    <s v="Pix"/>
    <x v="0"/>
    <x v="0"/>
    <m/>
    <x v="1"/>
    <x v="0"/>
    <x v="5"/>
    <x v="7"/>
    <n v="0"/>
    <n v="112.21249999999999"/>
    <n v="0"/>
    <x v="0"/>
    <x v="0"/>
    <x v="2"/>
    <x v="0"/>
    <s v=""/>
    <x v="0"/>
    <n v="-67.8"/>
  </r>
  <r>
    <d v="2026-05-01T00:00:00"/>
    <d v="2026-06-01T00:00:00"/>
    <s v="LAZER - CADEIRA"/>
    <n v="50"/>
    <s v="Pix"/>
    <x v="0"/>
    <x v="0"/>
    <m/>
    <x v="1"/>
    <x v="0"/>
    <x v="5"/>
    <x v="8"/>
    <n v="0"/>
    <n v="112.21249999999999"/>
    <n v="0"/>
    <x v="0"/>
    <x v="0"/>
    <x v="2"/>
    <x v="0"/>
    <s v=""/>
    <x v="0"/>
    <n v="-50"/>
  </r>
  <r>
    <d v="2026-05-01T00:00:00"/>
    <d v="2026-06-01T00:00:00"/>
    <s v="LAZER - PLACA MAE"/>
    <n v="150"/>
    <s v="Pix"/>
    <x v="0"/>
    <x v="0"/>
    <m/>
    <x v="1"/>
    <x v="0"/>
    <x v="5"/>
    <x v="9"/>
    <n v="0"/>
    <n v="112.21249999999999"/>
    <n v="0"/>
    <x v="0"/>
    <x v="0"/>
    <x v="2"/>
    <x v="0"/>
    <s v=""/>
    <x v="0"/>
    <n v="-150"/>
  </r>
  <r>
    <d v="2026-05-01T00:00:00"/>
    <d v="2026-06-01T00:00:00"/>
    <s v="LAZER - PROCESSADOR"/>
    <n v="136"/>
    <s v="Pix"/>
    <x v="0"/>
    <x v="0"/>
    <m/>
    <x v="1"/>
    <x v="0"/>
    <x v="5"/>
    <x v="10"/>
    <n v="0"/>
    <n v="112.21249999999999"/>
    <n v="0"/>
    <x v="0"/>
    <x v="0"/>
    <x v="2"/>
    <x v="0"/>
    <s v=""/>
    <x v="0"/>
    <n v="-136"/>
  </r>
  <r>
    <d v="2026-05-01T00:00:00"/>
    <d v="2026-06-01T00:00:00"/>
    <s v="LAZER - APPLE"/>
    <n v="66.900000000000006"/>
    <s v="Pix"/>
    <x v="0"/>
    <x v="0"/>
    <m/>
    <x v="1"/>
    <x v="0"/>
    <x v="5"/>
    <x v="11"/>
    <n v="0"/>
    <n v="112.21249999999999"/>
    <n v="0"/>
    <x v="0"/>
    <x v="0"/>
    <x v="2"/>
    <x v="0"/>
    <s v=""/>
    <x v="0"/>
    <n v="-66.900000000000006"/>
  </r>
  <r>
    <d v="2026-05-01T00:00:00"/>
    <d v="2026-06-01T00:00:00"/>
    <s v="LAZER - PLACA MAE"/>
    <n v="120"/>
    <s v="Pix"/>
    <x v="0"/>
    <x v="0"/>
    <m/>
    <x v="1"/>
    <x v="0"/>
    <x v="5"/>
    <x v="9"/>
    <n v="0"/>
    <n v="112.21249999999999"/>
    <n v="0"/>
    <x v="0"/>
    <x v="0"/>
    <x v="2"/>
    <x v="0"/>
    <s v=""/>
    <x v="0"/>
    <n v="-120"/>
  </r>
  <r>
    <d v="2026-05-01T00:00:00"/>
    <d v="2026-06-01T00:00:00"/>
    <s v="RENDA EXTRA - Outras fontes de renda"/>
    <n v="100"/>
    <s v="Pix"/>
    <x v="3"/>
    <x v="0"/>
    <s v="Samuel placa mãe e processador"/>
    <x v="0"/>
    <x v="1"/>
    <x v="7"/>
    <x v="21"/>
    <n v="0"/>
    <n v="100"/>
    <n v="0"/>
    <x v="0"/>
    <x v="0"/>
    <x v="2"/>
    <x v="0"/>
    <s v=""/>
    <x v="0"/>
    <n v="100"/>
  </r>
  <r>
    <d v="2026-05-01T00:00:00"/>
    <d v="2026-06-01T00:00:00"/>
    <s v="RENDA PRINCIPAL - Salário Principal"/>
    <n v="2900"/>
    <s v="Pix"/>
    <x v="6"/>
    <x v="0"/>
    <m/>
    <x v="0"/>
    <x v="1"/>
    <x v="6"/>
    <x v="20"/>
    <n v="0"/>
    <n v="2900"/>
    <n v="0"/>
    <x v="0"/>
    <x v="0"/>
    <x v="2"/>
    <x v="0"/>
    <s v=""/>
    <x v="0"/>
    <n v="2900"/>
  </r>
  <r>
    <d v="2026-04-01T00:00:00"/>
    <d v="2026-06-09T00:00:00"/>
    <s v="LAZER - Outros Lazer"/>
    <n v="90"/>
    <s v="Pix"/>
    <x v="0"/>
    <x v="0"/>
    <s v="OVO DE PASCOA 3/4"/>
    <x v="0"/>
    <x v="0"/>
    <x v="5"/>
    <x v="28"/>
    <n v="0"/>
    <n v="112.21249999999999"/>
    <n v="0"/>
    <x v="0"/>
    <x v="0"/>
    <x v="2"/>
    <x v="0"/>
    <s v=""/>
    <x v="0"/>
    <n v="-90"/>
  </r>
  <r>
    <d v="2026-04-13T00:00:00"/>
    <d v="2026-06-10T00:00:00"/>
    <s v="EMPRÉSTIMO - Empréstimo Pessoal - Banco"/>
    <n v="391"/>
    <s v="Creditas"/>
    <x v="5"/>
    <x v="0"/>
    <s v="CONSIGNADO"/>
    <x v="1"/>
    <x v="0"/>
    <x v="4"/>
    <x v="29"/>
    <n v="0"/>
    <n v="289.84000000000003"/>
    <n v="0"/>
    <x v="0"/>
    <x v="0"/>
    <x v="2"/>
    <x v="0"/>
    <s v=""/>
    <x v="0"/>
    <n v="-391"/>
  </r>
  <r>
    <d v="2026-06-01T00:00:00"/>
    <d v="2026-07-01T00:00:00"/>
    <s v="RENDA PRINCIPAL - Salário Principal"/>
    <n v="2927"/>
    <s v="Pix"/>
    <x v="6"/>
    <x v="1"/>
    <m/>
    <x v="0"/>
    <x v="1"/>
    <x v="6"/>
    <x v="20"/>
    <n v="0"/>
    <n v="2927"/>
    <n v="0"/>
    <x v="0"/>
    <x v="0"/>
    <x v="3"/>
    <x v="0"/>
    <s v=""/>
    <x v="0"/>
    <n v="2927"/>
  </r>
  <r>
    <d v="2026-06-01T00:00:00"/>
    <d v="2026-07-01T00:00:00"/>
    <s v="EMPRÉSTIMO - Empréstimo Pessoal - Banco"/>
    <n v="188.68"/>
    <s v="Pix"/>
    <x v="2"/>
    <x v="1"/>
    <m/>
    <x v="1"/>
    <x v="0"/>
    <x v="4"/>
    <x v="29"/>
    <n v="0"/>
    <n v="332.42"/>
    <n v="0"/>
    <x v="0"/>
    <x v="0"/>
    <x v="3"/>
    <x v="0"/>
    <s v=""/>
    <x v="0"/>
    <n v="-188.68"/>
  </r>
  <r>
    <d v="2026-06-01T00:00:00"/>
    <d v="2026-07-01T00:00:00"/>
    <s v="MORADIA - Água"/>
    <n v="250"/>
    <s v="Pix"/>
    <x v="0"/>
    <x v="1"/>
    <m/>
    <x v="0"/>
    <x v="0"/>
    <x v="0"/>
    <x v="0"/>
    <n v="0"/>
    <n v="250"/>
    <n v="0"/>
    <x v="0"/>
    <x v="0"/>
    <x v="3"/>
    <x v="0"/>
    <s v=""/>
    <x v="0"/>
    <n v="-250"/>
  </r>
  <r>
    <d v="2026-06-01T00:00:00"/>
    <d v="2026-07-01T00:00:00"/>
    <s v="TRANSPORTE - Combustível"/>
    <n v="150"/>
    <s v="Pix"/>
    <x v="0"/>
    <x v="1"/>
    <m/>
    <x v="0"/>
    <x v="0"/>
    <x v="1"/>
    <x v="1"/>
    <n v="0"/>
    <n v="150"/>
    <n v="0"/>
    <x v="0"/>
    <x v="0"/>
    <x v="3"/>
    <x v="0"/>
    <s v=""/>
    <x v="0"/>
    <n v="-150"/>
  </r>
  <r>
    <d v="2026-06-01T00:00:00"/>
    <d v="2026-07-01T00:00:00"/>
    <s v="COMUNICAÇÃO - Internet"/>
    <n v="45"/>
    <s v="Pix"/>
    <x v="1"/>
    <x v="1"/>
    <m/>
    <x v="0"/>
    <x v="0"/>
    <x v="2"/>
    <x v="2"/>
    <n v="0"/>
    <n v="31.475000000000001"/>
    <n v="0"/>
    <x v="0"/>
    <x v="0"/>
    <x v="3"/>
    <x v="0"/>
    <s v=""/>
    <x v="0"/>
    <n v="-45"/>
  </r>
  <r>
    <d v="2026-06-01T00:00:00"/>
    <d v="2026-07-01T00:00:00"/>
    <s v="PESSOAIS - INTERNET CELULAR"/>
    <n v="137"/>
    <s v="Pix"/>
    <x v="1"/>
    <x v="1"/>
    <m/>
    <x v="1"/>
    <x v="0"/>
    <x v="3"/>
    <x v="3"/>
    <n v="0"/>
    <n v="137"/>
    <n v="0"/>
    <x v="0"/>
    <x v="0"/>
    <x v="3"/>
    <x v="0"/>
    <s v=""/>
    <x v="0"/>
    <n v="-137"/>
  </r>
  <r>
    <d v="2026-06-01T00:00:00"/>
    <d v="2026-07-01T00:00:00"/>
    <s v="COMUNICAÇÃO - Apps (Netflix, Spotify, Skype, etc)"/>
    <n v="21"/>
    <s v="Pix"/>
    <x v="1"/>
    <x v="1"/>
    <m/>
    <x v="0"/>
    <x v="0"/>
    <x v="2"/>
    <x v="4"/>
    <n v="0"/>
    <n v="31.475000000000001"/>
    <n v="0"/>
    <x v="0"/>
    <x v="0"/>
    <x v="3"/>
    <x v="0"/>
    <s v=""/>
    <x v="0"/>
    <n v="-21"/>
  </r>
  <r>
    <d v="2026-06-01T00:00:00"/>
    <d v="2026-07-01T00:00:00"/>
    <s v="COMUNICAÇÃO - Apps (Netflix, Spotify, Skype, etc)"/>
    <n v="24.9"/>
    <s v="Pix"/>
    <x v="1"/>
    <x v="1"/>
    <m/>
    <x v="0"/>
    <x v="0"/>
    <x v="2"/>
    <x v="4"/>
    <n v="0"/>
    <n v="31.475000000000001"/>
    <n v="0"/>
    <x v="0"/>
    <x v="0"/>
    <x v="3"/>
    <x v="0"/>
    <s v=""/>
    <x v="0"/>
    <n v="-24.9"/>
  </r>
  <r>
    <d v="2026-06-01T00:00:00"/>
    <d v="2026-07-01T00:00:00"/>
    <s v="COMUNICAÇÃO - Apps (Netflix, Spotify, Skype, etc)"/>
    <n v="35"/>
    <s v="Pix"/>
    <x v="1"/>
    <x v="1"/>
    <m/>
    <x v="0"/>
    <x v="0"/>
    <x v="2"/>
    <x v="4"/>
    <n v="0"/>
    <n v="31.475000000000001"/>
    <n v="0"/>
    <x v="0"/>
    <x v="0"/>
    <x v="3"/>
    <x v="0"/>
    <s v=""/>
    <x v="0"/>
    <n v="-35"/>
  </r>
  <r>
    <d v="2026-06-01T00:00:00"/>
    <d v="2026-07-01T00:00:00"/>
    <s v="LAZER - CELULAR"/>
    <n v="217"/>
    <s v="Pix"/>
    <x v="0"/>
    <x v="1"/>
    <m/>
    <x v="1"/>
    <x v="0"/>
    <x v="5"/>
    <x v="6"/>
    <n v="0"/>
    <n v="112.21249999999999"/>
    <n v="0"/>
    <x v="0"/>
    <x v="0"/>
    <x v="3"/>
    <x v="0"/>
    <s v=""/>
    <x v="0"/>
    <n v="-217"/>
  </r>
  <r>
    <d v="2026-06-01T00:00:00"/>
    <d v="2026-07-01T00:00:00"/>
    <s v="LAZER - FONTE, COOLER"/>
    <n v="67.8"/>
    <s v="Pix"/>
    <x v="0"/>
    <x v="1"/>
    <m/>
    <x v="1"/>
    <x v="0"/>
    <x v="5"/>
    <x v="7"/>
    <n v="0"/>
    <n v="112.21249999999999"/>
    <n v="0"/>
    <x v="0"/>
    <x v="0"/>
    <x v="3"/>
    <x v="0"/>
    <s v=""/>
    <x v="0"/>
    <n v="-67.8"/>
  </r>
  <r>
    <d v="2026-06-01T00:00:00"/>
    <d v="2026-07-01T00:00:00"/>
    <s v="EMPRÉSTIMO - Parcelamento Cartão de Crédito"/>
    <n v="320"/>
    <s v="Pix"/>
    <x v="1"/>
    <x v="1"/>
    <s v="Nubank"/>
    <x v="1"/>
    <x v="0"/>
    <x v="4"/>
    <x v="5"/>
    <n v="0"/>
    <n v="332.42"/>
    <n v="0"/>
    <x v="0"/>
    <x v="0"/>
    <x v="3"/>
    <x v="0"/>
    <s v=""/>
    <x v="0"/>
    <n v="-320"/>
  </r>
  <r>
    <d v="2026-06-01T00:00:00"/>
    <d v="2026-07-01T00:00:00"/>
    <s v="LAZER - CADEIRA"/>
    <n v="50"/>
    <s v="Pix"/>
    <x v="0"/>
    <x v="1"/>
    <m/>
    <x v="1"/>
    <x v="0"/>
    <x v="5"/>
    <x v="8"/>
    <n v="0"/>
    <n v="112.21249999999999"/>
    <n v="0"/>
    <x v="0"/>
    <x v="0"/>
    <x v="3"/>
    <x v="0"/>
    <s v=""/>
    <x v="0"/>
    <n v="-50"/>
  </r>
  <r>
    <d v="2026-06-01T00:00:00"/>
    <d v="2026-07-01T00:00:00"/>
    <s v="LAZER - PLACA MAE"/>
    <n v="150"/>
    <s v="Pix"/>
    <x v="0"/>
    <x v="1"/>
    <m/>
    <x v="1"/>
    <x v="0"/>
    <x v="5"/>
    <x v="9"/>
    <n v="0"/>
    <n v="112.21249999999999"/>
    <n v="0"/>
    <x v="0"/>
    <x v="0"/>
    <x v="3"/>
    <x v="0"/>
    <s v=""/>
    <x v="0"/>
    <n v="-150"/>
  </r>
  <r>
    <d v="2026-06-01T00:00:00"/>
    <d v="2026-07-01T00:00:00"/>
    <s v="LAZER - PROCESSADOR"/>
    <n v="136"/>
    <s v="Pix"/>
    <x v="0"/>
    <x v="1"/>
    <m/>
    <x v="1"/>
    <x v="0"/>
    <x v="5"/>
    <x v="10"/>
    <n v="0"/>
    <n v="112.21249999999999"/>
    <n v="0"/>
    <x v="0"/>
    <x v="0"/>
    <x v="3"/>
    <x v="0"/>
    <s v=""/>
    <x v="0"/>
    <n v="-136"/>
  </r>
  <r>
    <d v="2026-06-01T00:00:00"/>
    <d v="2026-07-01T00:00:00"/>
    <s v="LAZER - APPLE"/>
    <n v="66.900000000000006"/>
    <s v="Pix"/>
    <x v="0"/>
    <x v="1"/>
    <m/>
    <x v="1"/>
    <x v="0"/>
    <x v="5"/>
    <x v="11"/>
    <n v="0"/>
    <n v="112.21249999999999"/>
    <n v="0"/>
    <x v="0"/>
    <x v="0"/>
    <x v="3"/>
    <x v="0"/>
    <s v=""/>
    <x v="0"/>
    <n v="-66.900000000000006"/>
  </r>
  <r>
    <d v="2026-06-01T00:00:00"/>
    <d v="2026-07-01T00:00:00"/>
    <s v="LAZER - PLACA MAE"/>
    <n v="120"/>
    <s v="Pix"/>
    <x v="0"/>
    <x v="1"/>
    <m/>
    <x v="1"/>
    <x v="0"/>
    <x v="5"/>
    <x v="9"/>
    <n v="0"/>
    <n v="112.21249999999999"/>
    <n v="0"/>
    <x v="0"/>
    <x v="0"/>
    <x v="3"/>
    <x v="0"/>
    <s v=""/>
    <x v="0"/>
    <n v="-120"/>
  </r>
  <r>
    <d v="2026-04-01T00:00:00"/>
    <d v="2026-07-09T00:00:00"/>
    <s v="LAZER - Outros Lazer"/>
    <n v="90"/>
    <s v="Pix"/>
    <x v="0"/>
    <x v="1"/>
    <s v="OVO DE PASCOA 4/4"/>
    <x v="0"/>
    <x v="0"/>
    <x v="5"/>
    <x v="28"/>
    <n v="0"/>
    <n v="112.21249999999999"/>
    <n v="0"/>
    <x v="0"/>
    <x v="0"/>
    <x v="3"/>
    <x v="0"/>
    <s v=""/>
    <x v="0"/>
    <n v="-90"/>
  </r>
  <r>
    <d v="2026-04-13T00:00:00"/>
    <d v="2026-07-10T00:00:00"/>
    <s v="EMPRÉSTIMO - Empréstimo Pessoal - Banco"/>
    <n v="391"/>
    <s v="Creditas"/>
    <x v="5"/>
    <x v="1"/>
    <s v="CONSIGNADO"/>
    <x v="1"/>
    <x v="0"/>
    <x v="4"/>
    <x v="29"/>
    <n v="0"/>
    <n v="332.42"/>
    <n v="0"/>
    <x v="0"/>
    <x v="0"/>
    <x v="3"/>
    <x v="0"/>
    <s v=""/>
    <x v="0"/>
    <n v="-391"/>
  </r>
  <r>
    <d v="2026-07-01T00:00:00"/>
    <d v="2026-08-01T00:00:00"/>
    <s v="RENDA PRINCIPAL - Salário Principal"/>
    <n v="2927"/>
    <s v="Pix"/>
    <x v="6"/>
    <x v="1"/>
    <m/>
    <x v="0"/>
    <x v="1"/>
    <x v="6"/>
    <x v="20"/>
    <n v="0"/>
    <n v="2927"/>
    <n v="0"/>
    <x v="0"/>
    <x v="0"/>
    <x v="4"/>
    <x v="0"/>
    <s v=""/>
    <x v="0"/>
    <n v="2927"/>
  </r>
  <r>
    <d v="2026-07-01T00:00:00"/>
    <d v="2026-08-01T00:00:00"/>
    <s v="EMPRÉSTIMO - Empréstimo Pessoal - Banco"/>
    <n v="188.68"/>
    <s v="Pix"/>
    <x v="2"/>
    <x v="1"/>
    <m/>
    <x v="1"/>
    <x v="0"/>
    <x v="4"/>
    <x v="29"/>
    <n v="0"/>
    <n v="252.42000000000002"/>
    <n v="0"/>
    <x v="0"/>
    <x v="0"/>
    <x v="4"/>
    <x v="0"/>
    <s v=""/>
    <x v="0"/>
    <n v="-188.68"/>
  </r>
  <r>
    <d v="2026-07-01T00:00:00"/>
    <d v="2026-08-01T00:00:00"/>
    <s v="MORADIA - Água"/>
    <n v="250"/>
    <s v="Pix"/>
    <x v="0"/>
    <x v="1"/>
    <m/>
    <x v="0"/>
    <x v="0"/>
    <x v="0"/>
    <x v="0"/>
    <n v="0"/>
    <n v="250"/>
    <n v="0"/>
    <x v="0"/>
    <x v="0"/>
    <x v="4"/>
    <x v="0"/>
    <s v=""/>
    <x v="0"/>
    <n v="-250"/>
  </r>
  <r>
    <d v="2026-07-01T00:00:00"/>
    <d v="2026-08-01T00:00:00"/>
    <s v="TRANSPORTE - Combustível"/>
    <n v="150"/>
    <s v="Pix"/>
    <x v="0"/>
    <x v="1"/>
    <m/>
    <x v="0"/>
    <x v="0"/>
    <x v="1"/>
    <x v="1"/>
    <n v="0"/>
    <n v="150"/>
    <n v="0"/>
    <x v="0"/>
    <x v="0"/>
    <x v="4"/>
    <x v="0"/>
    <s v=""/>
    <x v="0"/>
    <n v="-150"/>
  </r>
  <r>
    <d v="2026-07-01T00:00:00"/>
    <d v="2026-08-01T00:00:00"/>
    <s v="COMUNICAÇÃO - Internet"/>
    <n v="45"/>
    <s v="Pix"/>
    <x v="1"/>
    <x v="1"/>
    <m/>
    <x v="0"/>
    <x v="0"/>
    <x v="2"/>
    <x v="2"/>
    <n v="0"/>
    <n v="31.475000000000001"/>
    <n v="0"/>
    <x v="0"/>
    <x v="0"/>
    <x v="4"/>
    <x v="0"/>
    <s v=""/>
    <x v="0"/>
    <n v="-45"/>
  </r>
  <r>
    <d v="2026-07-01T00:00:00"/>
    <d v="2026-08-01T00:00:00"/>
    <s v="PESSOAIS - INTERNET CELULAR"/>
    <n v="137"/>
    <s v="Pix"/>
    <x v="1"/>
    <x v="1"/>
    <m/>
    <x v="1"/>
    <x v="0"/>
    <x v="3"/>
    <x v="3"/>
    <n v="0"/>
    <n v="137"/>
    <n v="0"/>
    <x v="0"/>
    <x v="0"/>
    <x v="4"/>
    <x v="0"/>
    <s v=""/>
    <x v="0"/>
    <n v="-137"/>
  </r>
  <r>
    <d v="2026-07-01T00:00:00"/>
    <d v="2026-08-01T00:00:00"/>
    <s v="COMUNICAÇÃO - Apps (Netflix, Spotify, Skype, etc)"/>
    <n v="21"/>
    <s v="Pix"/>
    <x v="1"/>
    <x v="1"/>
    <m/>
    <x v="0"/>
    <x v="0"/>
    <x v="2"/>
    <x v="4"/>
    <n v="0"/>
    <n v="31.475000000000001"/>
    <n v="0"/>
    <x v="0"/>
    <x v="0"/>
    <x v="4"/>
    <x v="0"/>
    <s v=""/>
    <x v="0"/>
    <n v="-21"/>
  </r>
  <r>
    <d v="2026-07-01T00:00:00"/>
    <d v="2026-08-01T00:00:00"/>
    <s v="COMUNICAÇÃO - Apps (Netflix, Spotify, Skype, etc)"/>
    <n v="24.9"/>
    <s v="Pix"/>
    <x v="1"/>
    <x v="1"/>
    <m/>
    <x v="0"/>
    <x v="0"/>
    <x v="2"/>
    <x v="4"/>
    <n v="0"/>
    <n v="31.475000000000001"/>
    <n v="0"/>
    <x v="0"/>
    <x v="0"/>
    <x v="4"/>
    <x v="0"/>
    <s v=""/>
    <x v="0"/>
    <n v="-24.9"/>
  </r>
  <r>
    <d v="2026-07-01T00:00:00"/>
    <d v="2026-08-01T00:00:00"/>
    <s v="COMUNICAÇÃO - Apps (Netflix, Spotify, Skype, etc)"/>
    <n v="35"/>
    <s v="Pix"/>
    <x v="1"/>
    <x v="1"/>
    <m/>
    <x v="0"/>
    <x v="0"/>
    <x v="2"/>
    <x v="4"/>
    <n v="0"/>
    <n v="31.475000000000001"/>
    <n v="0"/>
    <x v="0"/>
    <x v="0"/>
    <x v="4"/>
    <x v="0"/>
    <s v=""/>
    <x v="0"/>
    <n v="-35"/>
  </r>
  <r>
    <d v="2026-07-01T00:00:00"/>
    <d v="2026-08-01T00:00:00"/>
    <s v="LAZER - CELULAR"/>
    <n v="217"/>
    <s v="Pix"/>
    <x v="0"/>
    <x v="1"/>
    <m/>
    <x v="1"/>
    <x v="0"/>
    <x v="5"/>
    <x v="6"/>
    <n v="0"/>
    <n v="115.38571428571427"/>
    <n v="0"/>
    <x v="0"/>
    <x v="0"/>
    <x v="4"/>
    <x v="0"/>
    <s v=""/>
    <x v="0"/>
    <n v="-217"/>
  </r>
  <r>
    <d v="2026-07-01T00:00:00"/>
    <d v="2026-08-01T00:00:00"/>
    <s v="LAZER - FONTE, COOLER"/>
    <n v="67.8"/>
    <s v="Pix"/>
    <x v="0"/>
    <x v="1"/>
    <m/>
    <x v="1"/>
    <x v="0"/>
    <x v="5"/>
    <x v="7"/>
    <n v="0"/>
    <n v="115.38571428571427"/>
    <n v="0"/>
    <x v="0"/>
    <x v="0"/>
    <x v="4"/>
    <x v="0"/>
    <s v=""/>
    <x v="0"/>
    <n v="-67.8"/>
  </r>
  <r>
    <d v="2026-07-01T00:00:00"/>
    <d v="2026-08-01T00:00:00"/>
    <s v="EMPRÉSTIMO - Parcelamento Cartão de Crédito"/>
    <n v="154"/>
    <s v="Pix"/>
    <x v="1"/>
    <x v="1"/>
    <m/>
    <x v="1"/>
    <x v="0"/>
    <x v="4"/>
    <x v="5"/>
    <n v="0"/>
    <n v="252.42000000000002"/>
    <n v="0"/>
    <x v="0"/>
    <x v="0"/>
    <x v="4"/>
    <x v="0"/>
    <s v=""/>
    <x v="0"/>
    <n v="-154"/>
  </r>
  <r>
    <d v="2026-07-01T00:00:00"/>
    <d v="2026-08-01T00:00:00"/>
    <s v="LAZER - CADEIRA"/>
    <n v="50"/>
    <s v="Pix"/>
    <x v="0"/>
    <x v="1"/>
    <m/>
    <x v="1"/>
    <x v="0"/>
    <x v="5"/>
    <x v="8"/>
    <n v="0"/>
    <n v="115.38571428571427"/>
    <n v="0"/>
    <x v="0"/>
    <x v="0"/>
    <x v="4"/>
    <x v="0"/>
    <s v=""/>
    <x v="0"/>
    <n v="-50"/>
  </r>
  <r>
    <d v="2026-07-01T00:00:00"/>
    <d v="2026-08-01T00:00:00"/>
    <s v="LAZER - PLACA MAE"/>
    <n v="150"/>
    <s v="Pix"/>
    <x v="0"/>
    <x v="1"/>
    <m/>
    <x v="1"/>
    <x v="0"/>
    <x v="5"/>
    <x v="9"/>
    <n v="0"/>
    <n v="115.38571428571427"/>
    <n v="0"/>
    <x v="0"/>
    <x v="0"/>
    <x v="4"/>
    <x v="0"/>
    <s v=""/>
    <x v="0"/>
    <n v="-150"/>
  </r>
  <r>
    <d v="2026-07-01T00:00:00"/>
    <d v="2026-08-01T00:00:00"/>
    <s v="LAZER - PROCESSADOR"/>
    <n v="136"/>
    <s v="Pix"/>
    <x v="0"/>
    <x v="1"/>
    <m/>
    <x v="1"/>
    <x v="0"/>
    <x v="5"/>
    <x v="10"/>
    <n v="0"/>
    <n v="115.38571428571427"/>
    <n v="0"/>
    <x v="0"/>
    <x v="0"/>
    <x v="4"/>
    <x v="0"/>
    <s v=""/>
    <x v="0"/>
    <n v="-136"/>
  </r>
  <r>
    <d v="2026-07-01T00:00:00"/>
    <d v="2026-08-01T00:00:00"/>
    <s v="LAZER - APPLE"/>
    <n v="66.900000000000006"/>
    <s v="Pix"/>
    <x v="0"/>
    <x v="1"/>
    <m/>
    <x v="1"/>
    <x v="0"/>
    <x v="5"/>
    <x v="11"/>
    <n v="0"/>
    <n v="115.38571428571427"/>
    <n v="0"/>
    <x v="0"/>
    <x v="0"/>
    <x v="4"/>
    <x v="0"/>
    <s v=""/>
    <x v="0"/>
    <n v="-66.900000000000006"/>
  </r>
  <r>
    <d v="2026-07-01T00:00:00"/>
    <d v="2026-08-01T00:00:00"/>
    <s v="LAZER - PLACA MAE"/>
    <n v="120"/>
    <s v="Pix"/>
    <x v="0"/>
    <x v="1"/>
    <m/>
    <x v="1"/>
    <x v="0"/>
    <x v="5"/>
    <x v="9"/>
    <n v="0"/>
    <n v="115.38571428571427"/>
    <n v="0"/>
    <x v="0"/>
    <x v="0"/>
    <x v="4"/>
    <x v="0"/>
    <s v=""/>
    <x v="0"/>
    <n v="-120"/>
  </r>
  <r>
    <d v="2026-05-01T00:00:00"/>
    <d v="2026-08-01T00:00:00"/>
    <s v="EMPRÉSTIMO - Parcelamento Cartão de Crédito"/>
    <n v="276"/>
    <s v="Pix"/>
    <x v="1"/>
    <x v="1"/>
    <s v="Nubank"/>
    <x v="1"/>
    <x v="0"/>
    <x v="4"/>
    <x v="5"/>
    <n v="0"/>
    <n v="252.42000000000002"/>
    <n v="0"/>
    <x v="0"/>
    <x v="0"/>
    <x v="4"/>
    <x v="0"/>
    <s v=""/>
    <x v="0"/>
    <n v="-276"/>
  </r>
  <r>
    <d v="2026-04-13T00:00:00"/>
    <d v="2026-08-10T00:00:00"/>
    <s v="EMPRÉSTIMO - Empréstimo Pessoal - Banco"/>
    <n v="391"/>
    <s v="Creditas"/>
    <x v="5"/>
    <x v="1"/>
    <s v="CONSIGNADO"/>
    <x v="1"/>
    <x v="0"/>
    <x v="4"/>
    <x v="29"/>
    <n v="0"/>
    <n v="252.42000000000002"/>
    <n v="0"/>
    <x v="0"/>
    <x v="0"/>
    <x v="4"/>
    <x v="0"/>
    <s v=""/>
    <x v="0"/>
    <n v="-391"/>
  </r>
  <r>
    <d v="2026-08-01T00:00:00"/>
    <d v="2026-09-01T00:00:00"/>
    <s v="RENDA PRINCIPAL - Salário Principal"/>
    <n v="2927"/>
    <s v="Pix"/>
    <x v="6"/>
    <x v="1"/>
    <m/>
    <x v="0"/>
    <x v="1"/>
    <x v="6"/>
    <x v="20"/>
    <n v="0"/>
    <n v="2927"/>
    <n v="0"/>
    <x v="0"/>
    <x v="0"/>
    <x v="5"/>
    <x v="0"/>
    <s v=""/>
    <x v="0"/>
    <n v="2927"/>
  </r>
  <r>
    <d v="2026-08-01T00:00:00"/>
    <d v="2026-09-01T00:00:00"/>
    <s v="EMPRÉSTIMO - Empréstimo Pessoal - Banco"/>
    <n v="188.68"/>
    <s v="Pix"/>
    <x v="2"/>
    <x v="1"/>
    <m/>
    <x v="1"/>
    <x v="0"/>
    <x v="4"/>
    <x v="29"/>
    <n v="0"/>
    <n v="252.42000000000002"/>
    <n v="0"/>
    <x v="0"/>
    <x v="0"/>
    <x v="5"/>
    <x v="0"/>
    <s v=""/>
    <x v="0"/>
    <n v="-188.68"/>
  </r>
  <r>
    <d v="2026-08-01T00:00:00"/>
    <d v="2026-09-01T00:00:00"/>
    <s v="MORADIA - Água"/>
    <n v="250"/>
    <s v="Pix"/>
    <x v="0"/>
    <x v="1"/>
    <m/>
    <x v="0"/>
    <x v="0"/>
    <x v="0"/>
    <x v="0"/>
    <n v="0"/>
    <n v="250"/>
    <n v="0"/>
    <x v="0"/>
    <x v="0"/>
    <x v="5"/>
    <x v="0"/>
    <s v=""/>
    <x v="0"/>
    <n v="-250"/>
  </r>
  <r>
    <d v="2026-08-01T00:00:00"/>
    <d v="2026-09-01T00:00:00"/>
    <s v="TRANSPORTE - Combustível"/>
    <n v="150"/>
    <s v="Pix"/>
    <x v="0"/>
    <x v="1"/>
    <m/>
    <x v="0"/>
    <x v="0"/>
    <x v="1"/>
    <x v="1"/>
    <n v="0"/>
    <n v="150"/>
    <n v="0"/>
    <x v="0"/>
    <x v="0"/>
    <x v="5"/>
    <x v="0"/>
    <s v=""/>
    <x v="0"/>
    <n v="-150"/>
  </r>
  <r>
    <d v="2026-08-01T00:00:00"/>
    <d v="2026-09-01T00:00:00"/>
    <s v="COMUNICAÇÃO - Internet"/>
    <n v="45"/>
    <s v="Pix"/>
    <x v="1"/>
    <x v="1"/>
    <m/>
    <x v="0"/>
    <x v="0"/>
    <x v="2"/>
    <x v="2"/>
    <n v="0"/>
    <n v="31.475000000000001"/>
    <n v="0"/>
    <x v="0"/>
    <x v="0"/>
    <x v="5"/>
    <x v="0"/>
    <s v=""/>
    <x v="0"/>
    <n v="-45"/>
  </r>
  <r>
    <d v="2026-08-01T00:00:00"/>
    <d v="2026-09-01T00:00:00"/>
    <s v="PESSOAIS - INTERNET CELULAR"/>
    <n v="137"/>
    <s v="Pix"/>
    <x v="1"/>
    <x v="1"/>
    <m/>
    <x v="1"/>
    <x v="0"/>
    <x v="3"/>
    <x v="3"/>
    <n v="0"/>
    <n v="137"/>
    <n v="0"/>
    <x v="0"/>
    <x v="0"/>
    <x v="5"/>
    <x v="0"/>
    <s v=""/>
    <x v="0"/>
    <n v="-137"/>
  </r>
  <r>
    <d v="2026-08-01T00:00:00"/>
    <d v="2026-09-01T00:00:00"/>
    <s v="COMUNICAÇÃO - Apps (Netflix, Spotify, Skype, etc)"/>
    <n v="21"/>
    <s v="Pix"/>
    <x v="1"/>
    <x v="1"/>
    <m/>
    <x v="0"/>
    <x v="0"/>
    <x v="2"/>
    <x v="4"/>
    <n v="0"/>
    <n v="31.475000000000001"/>
    <n v="0"/>
    <x v="0"/>
    <x v="0"/>
    <x v="5"/>
    <x v="0"/>
    <s v=""/>
    <x v="0"/>
    <n v="-21"/>
  </r>
  <r>
    <d v="2026-08-01T00:00:00"/>
    <d v="2026-09-01T00:00:00"/>
    <s v="COMUNICAÇÃO - Apps (Netflix, Spotify, Skype, etc)"/>
    <n v="24.9"/>
    <s v="Pix"/>
    <x v="1"/>
    <x v="1"/>
    <m/>
    <x v="0"/>
    <x v="0"/>
    <x v="2"/>
    <x v="4"/>
    <n v="0"/>
    <n v="31.475000000000001"/>
    <n v="0"/>
    <x v="0"/>
    <x v="0"/>
    <x v="5"/>
    <x v="0"/>
    <s v=""/>
    <x v="0"/>
    <n v="-24.9"/>
  </r>
  <r>
    <d v="2026-08-01T00:00:00"/>
    <d v="2026-09-01T00:00:00"/>
    <s v="COMUNICAÇÃO - Apps (Netflix, Spotify, Skype, etc)"/>
    <n v="35"/>
    <s v="Pix"/>
    <x v="1"/>
    <x v="1"/>
    <m/>
    <x v="0"/>
    <x v="0"/>
    <x v="2"/>
    <x v="4"/>
    <n v="0"/>
    <n v="31.475000000000001"/>
    <n v="0"/>
    <x v="0"/>
    <x v="0"/>
    <x v="5"/>
    <x v="0"/>
    <s v=""/>
    <x v="0"/>
    <n v="-35"/>
  </r>
  <r>
    <d v="2026-08-01T00:00:00"/>
    <d v="2026-09-01T00:00:00"/>
    <s v="LAZER - CELULAR"/>
    <n v="217"/>
    <s v="Pix"/>
    <x v="0"/>
    <x v="1"/>
    <m/>
    <x v="1"/>
    <x v="0"/>
    <x v="5"/>
    <x v="6"/>
    <n v="0"/>
    <n v="115.38571428571427"/>
    <n v="0"/>
    <x v="0"/>
    <x v="0"/>
    <x v="5"/>
    <x v="0"/>
    <s v=""/>
    <x v="0"/>
    <n v="-217"/>
  </r>
  <r>
    <d v="2026-08-01T00:00:00"/>
    <d v="2026-09-01T00:00:00"/>
    <s v="LAZER - FONTE, COOLER"/>
    <n v="67.8"/>
    <s v="Pix"/>
    <x v="0"/>
    <x v="1"/>
    <m/>
    <x v="1"/>
    <x v="0"/>
    <x v="5"/>
    <x v="7"/>
    <n v="0"/>
    <n v="115.38571428571427"/>
    <n v="0"/>
    <x v="0"/>
    <x v="0"/>
    <x v="5"/>
    <x v="0"/>
    <s v=""/>
    <x v="0"/>
    <n v="-67.8"/>
  </r>
  <r>
    <d v="2026-08-01T00:00:00"/>
    <d v="2026-09-01T00:00:00"/>
    <s v="EMPRÉSTIMO - Parcelamento Cartão de Crédito"/>
    <n v="154"/>
    <s v="Pix"/>
    <x v="1"/>
    <x v="1"/>
    <m/>
    <x v="1"/>
    <x v="0"/>
    <x v="4"/>
    <x v="5"/>
    <n v="0"/>
    <n v="252.42000000000002"/>
    <n v="0"/>
    <x v="0"/>
    <x v="0"/>
    <x v="5"/>
    <x v="0"/>
    <s v=""/>
    <x v="0"/>
    <n v="-154"/>
  </r>
  <r>
    <d v="2026-08-01T00:00:00"/>
    <d v="2026-09-01T00:00:00"/>
    <s v="LAZER - CADEIRA"/>
    <n v="50"/>
    <s v="Pix"/>
    <x v="0"/>
    <x v="1"/>
    <m/>
    <x v="1"/>
    <x v="0"/>
    <x v="5"/>
    <x v="8"/>
    <n v="0"/>
    <n v="115.38571428571427"/>
    <n v="0"/>
    <x v="0"/>
    <x v="0"/>
    <x v="5"/>
    <x v="0"/>
    <s v=""/>
    <x v="0"/>
    <n v="-50"/>
  </r>
  <r>
    <d v="2026-08-01T00:00:00"/>
    <d v="2026-09-01T00:00:00"/>
    <s v="LAZER - PLACA MAE"/>
    <n v="150"/>
    <s v="Pix"/>
    <x v="0"/>
    <x v="1"/>
    <m/>
    <x v="1"/>
    <x v="0"/>
    <x v="5"/>
    <x v="9"/>
    <n v="0"/>
    <n v="115.38571428571427"/>
    <n v="0"/>
    <x v="0"/>
    <x v="0"/>
    <x v="5"/>
    <x v="0"/>
    <s v=""/>
    <x v="0"/>
    <n v="-150"/>
  </r>
  <r>
    <d v="2026-08-01T00:00:00"/>
    <d v="2026-09-01T00:00:00"/>
    <s v="LAZER - PROCESSADOR"/>
    <n v="136"/>
    <s v="Pix"/>
    <x v="0"/>
    <x v="1"/>
    <m/>
    <x v="1"/>
    <x v="0"/>
    <x v="5"/>
    <x v="10"/>
    <n v="0"/>
    <n v="115.38571428571427"/>
    <n v="0"/>
    <x v="0"/>
    <x v="0"/>
    <x v="5"/>
    <x v="0"/>
    <s v=""/>
    <x v="0"/>
    <n v="-136"/>
  </r>
  <r>
    <d v="2026-08-01T00:00:00"/>
    <d v="2026-09-01T00:00:00"/>
    <s v="LAZER - APPLE"/>
    <n v="66.900000000000006"/>
    <s v="Pix"/>
    <x v="0"/>
    <x v="1"/>
    <m/>
    <x v="1"/>
    <x v="0"/>
    <x v="5"/>
    <x v="11"/>
    <n v="0"/>
    <n v="115.38571428571427"/>
    <n v="0"/>
    <x v="0"/>
    <x v="0"/>
    <x v="5"/>
    <x v="0"/>
    <s v=""/>
    <x v="0"/>
    <n v="-66.900000000000006"/>
  </r>
  <r>
    <d v="2026-08-01T00:00:00"/>
    <d v="2026-09-01T00:00:00"/>
    <s v="LAZER - PLACA MAE"/>
    <n v="120"/>
    <s v="Pix"/>
    <x v="0"/>
    <x v="1"/>
    <m/>
    <x v="1"/>
    <x v="0"/>
    <x v="5"/>
    <x v="9"/>
    <n v="0"/>
    <n v="115.38571428571427"/>
    <n v="0"/>
    <x v="0"/>
    <x v="0"/>
    <x v="5"/>
    <x v="0"/>
    <s v=""/>
    <x v="0"/>
    <n v="-120"/>
  </r>
  <r>
    <d v="2026-05-01T00:00:00"/>
    <d v="2026-09-01T00:00:00"/>
    <s v="EMPRÉSTIMO - Parcelamento Cartão de Crédito"/>
    <n v="276"/>
    <s v="Pix"/>
    <x v="1"/>
    <x v="1"/>
    <s v="Nubank"/>
    <x v="1"/>
    <x v="0"/>
    <x v="4"/>
    <x v="5"/>
    <n v="0"/>
    <n v="252.42000000000002"/>
    <n v="0"/>
    <x v="0"/>
    <x v="0"/>
    <x v="5"/>
    <x v="0"/>
    <s v=""/>
    <x v="0"/>
    <n v="-276"/>
  </r>
  <r>
    <d v="2026-04-13T00:00:00"/>
    <d v="2026-09-10T00:00:00"/>
    <s v="EMPRÉSTIMO - Empréstimo Pessoal - Banco"/>
    <n v="391"/>
    <s v="Creditas"/>
    <x v="5"/>
    <x v="1"/>
    <s v="CONSIGNADO"/>
    <x v="1"/>
    <x v="0"/>
    <x v="4"/>
    <x v="29"/>
    <n v="0"/>
    <n v="252.42000000000002"/>
    <n v="0"/>
    <x v="0"/>
    <x v="0"/>
    <x v="5"/>
    <x v="0"/>
    <s v=""/>
    <x v="0"/>
    <n v="-391"/>
  </r>
  <r>
    <d v="2026-09-01T00:00:00"/>
    <d v="2026-10-01T00:00:00"/>
    <s v="RENDA PRINCIPAL - Salário Principal"/>
    <n v="2927"/>
    <s v="Pix"/>
    <x v="6"/>
    <x v="1"/>
    <m/>
    <x v="0"/>
    <x v="1"/>
    <x v="6"/>
    <x v="20"/>
    <n v="0"/>
    <n v="2927"/>
    <n v="0"/>
    <x v="0"/>
    <x v="0"/>
    <x v="6"/>
    <x v="0"/>
    <s v=""/>
    <x v="0"/>
    <n v="2927"/>
  </r>
  <r>
    <d v="2026-09-01T00:00:00"/>
    <d v="2026-10-01T00:00:00"/>
    <s v="EMPRÉSTIMO - Empréstimo Pessoal - Banco"/>
    <n v="188.68"/>
    <s v="Pix"/>
    <x v="2"/>
    <x v="1"/>
    <m/>
    <x v="1"/>
    <x v="0"/>
    <x v="4"/>
    <x v="29"/>
    <n v="0"/>
    <n v="289.84000000000003"/>
    <n v="0"/>
    <x v="0"/>
    <x v="0"/>
    <x v="6"/>
    <x v="0"/>
    <s v=""/>
    <x v="0"/>
    <n v="-188.68"/>
  </r>
  <r>
    <d v="2026-09-01T00:00:00"/>
    <d v="2026-10-01T00:00:00"/>
    <s v="MORADIA - Água"/>
    <n v="250"/>
    <s v="Pix"/>
    <x v="0"/>
    <x v="1"/>
    <m/>
    <x v="0"/>
    <x v="0"/>
    <x v="0"/>
    <x v="0"/>
    <n v="0"/>
    <n v="250"/>
    <n v="0"/>
    <x v="0"/>
    <x v="0"/>
    <x v="6"/>
    <x v="0"/>
    <s v=""/>
    <x v="0"/>
    <n v="-250"/>
  </r>
  <r>
    <d v="2026-09-01T00:00:00"/>
    <d v="2026-10-01T00:00:00"/>
    <s v="TRANSPORTE - Combustível"/>
    <n v="150"/>
    <s v="Pix"/>
    <x v="0"/>
    <x v="1"/>
    <m/>
    <x v="0"/>
    <x v="0"/>
    <x v="1"/>
    <x v="1"/>
    <n v="0"/>
    <n v="150"/>
    <n v="0"/>
    <x v="0"/>
    <x v="0"/>
    <x v="6"/>
    <x v="0"/>
    <s v=""/>
    <x v="0"/>
    <n v="-150"/>
  </r>
  <r>
    <d v="2026-09-01T00:00:00"/>
    <d v="2026-10-01T00:00:00"/>
    <s v="COMUNICAÇÃO - Internet"/>
    <n v="45"/>
    <s v="Pix"/>
    <x v="1"/>
    <x v="1"/>
    <m/>
    <x v="0"/>
    <x v="0"/>
    <x v="2"/>
    <x v="2"/>
    <n v="0"/>
    <n v="31.475000000000001"/>
    <n v="0"/>
    <x v="0"/>
    <x v="0"/>
    <x v="6"/>
    <x v="0"/>
    <s v=""/>
    <x v="0"/>
    <n v="-45"/>
  </r>
  <r>
    <d v="2026-09-01T00:00:00"/>
    <d v="2026-10-01T00:00:00"/>
    <s v="PESSOAIS - INTERNET CELULAR"/>
    <n v="137"/>
    <s v="Pix"/>
    <x v="0"/>
    <x v="1"/>
    <m/>
    <x v="1"/>
    <x v="0"/>
    <x v="3"/>
    <x v="3"/>
    <n v="0"/>
    <n v="137"/>
    <n v="0"/>
    <x v="0"/>
    <x v="0"/>
    <x v="6"/>
    <x v="0"/>
    <s v=""/>
    <x v="0"/>
    <n v="-137"/>
  </r>
  <r>
    <d v="2026-09-01T00:00:00"/>
    <d v="2026-10-01T00:00:00"/>
    <s v="COMUNICAÇÃO - Apps (Netflix, Spotify, Skype, etc)"/>
    <n v="21"/>
    <s v="Pix"/>
    <x v="1"/>
    <x v="1"/>
    <m/>
    <x v="0"/>
    <x v="0"/>
    <x v="2"/>
    <x v="4"/>
    <n v="0"/>
    <n v="31.475000000000001"/>
    <n v="0"/>
    <x v="0"/>
    <x v="0"/>
    <x v="6"/>
    <x v="0"/>
    <s v=""/>
    <x v="0"/>
    <n v="-21"/>
  </r>
  <r>
    <d v="2026-09-01T00:00:00"/>
    <d v="2026-10-01T00:00:00"/>
    <s v="COMUNICAÇÃO - Apps (Netflix, Spotify, Skype, etc)"/>
    <n v="24.9"/>
    <s v="Pix"/>
    <x v="1"/>
    <x v="1"/>
    <m/>
    <x v="0"/>
    <x v="0"/>
    <x v="2"/>
    <x v="4"/>
    <n v="0"/>
    <n v="31.475000000000001"/>
    <n v="0"/>
    <x v="0"/>
    <x v="0"/>
    <x v="6"/>
    <x v="0"/>
    <s v=""/>
    <x v="0"/>
    <n v="-24.9"/>
  </r>
  <r>
    <d v="2026-09-01T00:00:00"/>
    <d v="2026-10-01T00:00:00"/>
    <s v="COMUNICAÇÃO - Apps (Netflix, Spotify, Skype, etc)"/>
    <n v="35"/>
    <s v="Pix"/>
    <x v="1"/>
    <x v="1"/>
    <m/>
    <x v="0"/>
    <x v="0"/>
    <x v="2"/>
    <x v="4"/>
    <n v="0"/>
    <n v="31.475000000000001"/>
    <n v="0"/>
    <x v="0"/>
    <x v="0"/>
    <x v="6"/>
    <x v="0"/>
    <s v=""/>
    <x v="0"/>
    <n v="-35"/>
  </r>
  <r>
    <d v="2026-09-01T00:00:00"/>
    <d v="2026-10-01T00:00:00"/>
    <s v="LAZER - APPLE"/>
    <n v="66.900000000000006"/>
    <s v="Pix"/>
    <x v="2"/>
    <x v="1"/>
    <m/>
    <x v="1"/>
    <x v="0"/>
    <x v="5"/>
    <x v="11"/>
    <n v="0"/>
    <n v="66.900000000000006"/>
    <n v="0"/>
    <x v="0"/>
    <x v="0"/>
    <x v="6"/>
    <x v="0"/>
    <s v=""/>
    <x v="0"/>
    <n v="-66.900000000000006"/>
  </r>
  <r>
    <d v="2026-04-13T00:00:00"/>
    <d v="2026-10-10T00:00:00"/>
    <s v="EMPRÉSTIMO - Empréstimo Pessoal - Banco"/>
    <n v="391"/>
    <s v="Creditas"/>
    <x v="5"/>
    <x v="1"/>
    <s v="CONSIGNADO"/>
    <x v="1"/>
    <x v="0"/>
    <x v="4"/>
    <x v="29"/>
    <n v="0"/>
    <n v="289.84000000000003"/>
    <n v="0"/>
    <x v="0"/>
    <x v="0"/>
    <x v="6"/>
    <x v="0"/>
    <s v=""/>
    <x v="0"/>
    <n v="-391"/>
  </r>
  <r>
    <d v="2026-10-01T00:00:00"/>
    <d v="2026-11-01T00:00:00"/>
    <s v="RENDA PRINCIPAL - Salário Principal"/>
    <n v="2927"/>
    <s v="Pix"/>
    <x v="6"/>
    <x v="1"/>
    <m/>
    <x v="0"/>
    <x v="1"/>
    <x v="6"/>
    <x v="20"/>
    <n v="0"/>
    <n v="2927"/>
    <n v="0"/>
    <x v="0"/>
    <x v="0"/>
    <x v="7"/>
    <x v="0"/>
    <s v=""/>
    <x v="0"/>
    <n v="2927"/>
  </r>
  <r>
    <d v="2026-10-01T00:00:00"/>
    <d v="2026-11-01T00:00:00"/>
    <s v="EMPRÉSTIMO - Empréstimo Pessoal - Banco"/>
    <n v="188.68"/>
    <s v="Pix"/>
    <x v="2"/>
    <x v="1"/>
    <m/>
    <x v="1"/>
    <x v="0"/>
    <x v="4"/>
    <x v="29"/>
    <n v="0"/>
    <n v="289.84000000000003"/>
    <n v="0"/>
    <x v="0"/>
    <x v="0"/>
    <x v="7"/>
    <x v="0"/>
    <s v=""/>
    <x v="0"/>
    <n v="-188.68"/>
  </r>
  <r>
    <d v="2026-10-01T00:00:00"/>
    <d v="2026-11-01T00:00:00"/>
    <s v="MORADIA - Água"/>
    <n v="250"/>
    <s v="Pix"/>
    <x v="0"/>
    <x v="1"/>
    <m/>
    <x v="0"/>
    <x v="0"/>
    <x v="0"/>
    <x v="0"/>
    <n v="0"/>
    <n v="250"/>
    <n v="0"/>
    <x v="0"/>
    <x v="0"/>
    <x v="7"/>
    <x v="0"/>
    <s v=""/>
    <x v="0"/>
    <n v="-250"/>
  </r>
  <r>
    <d v="2026-10-01T00:00:00"/>
    <d v="2026-11-01T00:00:00"/>
    <s v="TRANSPORTE - Combustível"/>
    <n v="150"/>
    <s v="Pix"/>
    <x v="0"/>
    <x v="1"/>
    <m/>
    <x v="0"/>
    <x v="0"/>
    <x v="1"/>
    <x v="1"/>
    <n v="0"/>
    <n v="150"/>
    <n v="0"/>
    <x v="0"/>
    <x v="0"/>
    <x v="7"/>
    <x v="0"/>
    <s v=""/>
    <x v="0"/>
    <n v="-150"/>
  </r>
  <r>
    <d v="2026-10-01T00:00:00"/>
    <d v="2026-11-01T00:00:00"/>
    <s v="COMUNICAÇÃO - Internet"/>
    <n v="45"/>
    <s v="Pix"/>
    <x v="1"/>
    <x v="1"/>
    <m/>
    <x v="0"/>
    <x v="0"/>
    <x v="2"/>
    <x v="2"/>
    <n v="0"/>
    <n v="31.475000000000001"/>
    <n v="0"/>
    <x v="0"/>
    <x v="0"/>
    <x v="7"/>
    <x v="0"/>
    <s v=""/>
    <x v="0"/>
    <n v="-45"/>
  </r>
  <r>
    <d v="2026-10-01T00:00:00"/>
    <d v="2026-11-01T00:00:00"/>
    <s v="PESSOAIS - INTERNET CELULAR"/>
    <n v="137"/>
    <s v="Pix"/>
    <x v="0"/>
    <x v="1"/>
    <m/>
    <x v="1"/>
    <x v="0"/>
    <x v="3"/>
    <x v="3"/>
    <n v="0"/>
    <n v="137"/>
    <n v="0"/>
    <x v="0"/>
    <x v="0"/>
    <x v="7"/>
    <x v="0"/>
    <s v=""/>
    <x v="0"/>
    <n v="-137"/>
  </r>
  <r>
    <d v="2026-10-01T00:00:00"/>
    <d v="2026-11-01T00:00:00"/>
    <s v="COMUNICAÇÃO - Apps (Netflix, Spotify, Skype, etc)"/>
    <n v="21"/>
    <s v="Pix"/>
    <x v="1"/>
    <x v="1"/>
    <m/>
    <x v="0"/>
    <x v="0"/>
    <x v="2"/>
    <x v="4"/>
    <n v="0"/>
    <n v="31.475000000000001"/>
    <n v="0"/>
    <x v="0"/>
    <x v="0"/>
    <x v="7"/>
    <x v="0"/>
    <s v=""/>
    <x v="0"/>
    <n v="-21"/>
  </r>
  <r>
    <d v="2026-10-01T00:00:00"/>
    <d v="2026-11-01T00:00:00"/>
    <s v="COMUNICAÇÃO - Apps (Netflix, Spotify, Skype, etc)"/>
    <n v="24.9"/>
    <s v="Pix"/>
    <x v="1"/>
    <x v="1"/>
    <m/>
    <x v="0"/>
    <x v="0"/>
    <x v="2"/>
    <x v="4"/>
    <n v="0"/>
    <n v="31.475000000000001"/>
    <n v="0"/>
    <x v="0"/>
    <x v="0"/>
    <x v="7"/>
    <x v="0"/>
    <s v=""/>
    <x v="0"/>
    <n v="-24.9"/>
  </r>
  <r>
    <d v="2026-10-01T00:00:00"/>
    <d v="2026-11-01T00:00:00"/>
    <s v="COMUNICAÇÃO - Apps (Netflix, Spotify, Skype, etc)"/>
    <n v="35"/>
    <s v="Pix"/>
    <x v="1"/>
    <x v="1"/>
    <m/>
    <x v="0"/>
    <x v="0"/>
    <x v="2"/>
    <x v="4"/>
    <n v="0"/>
    <n v="31.475000000000001"/>
    <n v="0"/>
    <x v="0"/>
    <x v="0"/>
    <x v="7"/>
    <x v="0"/>
    <s v=""/>
    <x v="0"/>
    <n v="-35"/>
  </r>
  <r>
    <d v="2026-10-01T00:00:00"/>
    <d v="2026-11-01T00:00:00"/>
    <s v="LAZER - APPLE"/>
    <n v="66.900000000000006"/>
    <s v="Pix"/>
    <x v="2"/>
    <x v="1"/>
    <m/>
    <x v="1"/>
    <x v="0"/>
    <x v="5"/>
    <x v="11"/>
    <n v="0"/>
    <n v="66.900000000000006"/>
    <n v="0"/>
    <x v="0"/>
    <x v="0"/>
    <x v="7"/>
    <x v="0"/>
    <s v=""/>
    <x v="0"/>
    <n v="-66.900000000000006"/>
  </r>
  <r>
    <d v="2026-04-13T00:00:00"/>
    <d v="2026-11-10T00:00:00"/>
    <s v="EMPRÉSTIMO - Empréstimo Pessoal - Banco"/>
    <n v="391"/>
    <s v="Creditas"/>
    <x v="5"/>
    <x v="1"/>
    <s v="CONSIGNADO"/>
    <x v="1"/>
    <x v="0"/>
    <x v="4"/>
    <x v="29"/>
    <n v="0"/>
    <n v="289.84000000000003"/>
    <n v="0"/>
    <x v="0"/>
    <x v="0"/>
    <x v="7"/>
    <x v="0"/>
    <s v=""/>
    <x v="0"/>
    <n v="-391"/>
  </r>
  <r>
    <d v="2026-11-01T00:00:00"/>
    <d v="2026-12-01T00:00:00"/>
    <s v="RENDA PRINCIPAL - Salário Principal"/>
    <n v="2927"/>
    <s v="Pix"/>
    <x v="6"/>
    <x v="1"/>
    <m/>
    <x v="0"/>
    <x v="1"/>
    <x v="6"/>
    <x v="20"/>
    <n v="0"/>
    <n v="2927"/>
    <n v="0"/>
    <x v="0"/>
    <x v="0"/>
    <x v="8"/>
    <x v="0"/>
    <s v=""/>
    <x v="0"/>
    <n v="2927"/>
  </r>
  <r>
    <d v="2026-11-01T00:00:00"/>
    <d v="2026-12-01T00:00:00"/>
    <s v="EMPRÉSTIMO - Empréstimo Pessoal - Banco"/>
    <n v="188.68"/>
    <s v="Pix"/>
    <x v="2"/>
    <x v="1"/>
    <m/>
    <x v="1"/>
    <x v="0"/>
    <x v="4"/>
    <x v="29"/>
    <n v="0"/>
    <n v="289.84000000000003"/>
    <n v="0"/>
    <x v="0"/>
    <x v="0"/>
    <x v="8"/>
    <x v="0"/>
    <s v=""/>
    <x v="0"/>
    <n v="-188.68"/>
  </r>
  <r>
    <d v="2026-11-01T00:00:00"/>
    <d v="2026-12-01T00:00:00"/>
    <s v="MORADIA - Água"/>
    <n v="250"/>
    <s v="Pix"/>
    <x v="0"/>
    <x v="1"/>
    <m/>
    <x v="0"/>
    <x v="0"/>
    <x v="0"/>
    <x v="0"/>
    <n v="0"/>
    <n v="250"/>
    <n v="0"/>
    <x v="0"/>
    <x v="0"/>
    <x v="8"/>
    <x v="0"/>
    <s v=""/>
    <x v="0"/>
    <n v="-250"/>
  </r>
  <r>
    <d v="2026-11-01T00:00:00"/>
    <d v="2026-12-01T00:00:00"/>
    <s v="TRANSPORTE - Combustível"/>
    <n v="150"/>
    <s v="Pix"/>
    <x v="0"/>
    <x v="1"/>
    <m/>
    <x v="0"/>
    <x v="0"/>
    <x v="1"/>
    <x v="1"/>
    <n v="0"/>
    <n v="150"/>
    <n v="0"/>
    <x v="0"/>
    <x v="0"/>
    <x v="8"/>
    <x v="0"/>
    <s v=""/>
    <x v="0"/>
    <n v="-150"/>
  </r>
  <r>
    <d v="2026-11-01T00:00:00"/>
    <d v="2026-12-01T00:00:00"/>
    <s v="COMUNICAÇÃO - Internet"/>
    <n v="45"/>
    <s v="Pix"/>
    <x v="1"/>
    <x v="1"/>
    <m/>
    <x v="0"/>
    <x v="0"/>
    <x v="2"/>
    <x v="2"/>
    <n v="0"/>
    <n v="31.475000000000001"/>
    <n v="0"/>
    <x v="0"/>
    <x v="0"/>
    <x v="8"/>
    <x v="0"/>
    <s v=""/>
    <x v="0"/>
    <n v="-45"/>
  </r>
  <r>
    <d v="2026-11-01T00:00:00"/>
    <d v="2026-12-01T00:00:00"/>
    <s v="PESSOAIS - INTERNET CELULAR"/>
    <n v="137"/>
    <s v="Pix"/>
    <x v="0"/>
    <x v="1"/>
    <m/>
    <x v="1"/>
    <x v="0"/>
    <x v="3"/>
    <x v="3"/>
    <n v="0"/>
    <n v="137"/>
    <n v="0"/>
    <x v="0"/>
    <x v="0"/>
    <x v="8"/>
    <x v="0"/>
    <s v=""/>
    <x v="0"/>
    <n v="-137"/>
  </r>
  <r>
    <d v="2026-11-01T00:00:00"/>
    <d v="2026-12-01T00:00:00"/>
    <s v="COMUNICAÇÃO - Apps (Netflix, Spotify, Skype, etc)"/>
    <n v="21"/>
    <s v="Pix"/>
    <x v="1"/>
    <x v="1"/>
    <m/>
    <x v="0"/>
    <x v="0"/>
    <x v="2"/>
    <x v="4"/>
    <n v="0"/>
    <n v="31.475000000000001"/>
    <n v="0"/>
    <x v="0"/>
    <x v="0"/>
    <x v="8"/>
    <x v="0"/>
    <s v=""/>
    <x v="0"/>
    <n v="-21"/>
  </r>
  <r>
    <d v="2026-11-01T00:00:00"/>
    <d v="2026-12-01T00:00:00"/>
    <s v="COMUNICAÇÃO - Apps (Netflix, Spotify, Skype, etc)"/>
    <n v="24.9"/>
    <s v="Pix"/>
    <x v="1"/>
    <x v="1"/>
    <m/>
    <x v="0"/>
    <x v="0"/>
    <x v="2"/>
    <x v="4"/>
    <n v="0"/>
    <n v="31.475000000000001"/>
    <n v="0"/>
    <x v="0"/>
    <x v="0"/>
    <x v="8"/>
    <x v="0"/>
    <s v=""/>
    <x v="0"/>
    <n v="-24.9"/>
  </r>
  <r>
    <d v="2026-11-01T00:00:00"/>
    <d v="2026-12-01T00:00:00"/>
    <s v="COMUNICAÇÃO - Apps (Netflix, Spotify, Skype, etc)"/>
    <n v="35"/>
    <s v="Pix"/>
    <x v="1"/>
    <x v="1"/>
    <m/>
    <x v="0"/>
    <x v="0"/>
    <x v="2"/>
    <x v="4"/>
    <n v="0"/>
    <n v="31.475000000000001"/>
    <n v="0"/>
    <x v="0"/>
    <x v="0"/>
    <x v="8"/>
    <x v="0"/>
    <s v=""/>
    <x v="0"/>
    <n v="-35"/>
  </r>
  <r>
    <d v="2026-11-01T00:00:00"/>
    <d v="2026-12-01T00:00:00"/>
    <s v="LAZER - APPLE"/>
    <n v="66.900000000000006"/>
    <s v="Pix"/>
    <x v="2"/>
    <x v="1"/>
    <m/>
    <x v="1"/>
    <x v="0"/>
    <x v="5"/>
    <x v="11"/>
    <n v="0"/>
    <n v="66.900000000000006"/>
    <n v="0"/>
    <x v="0"/>
    <x v="0"/>
    <x v="8"/>
    <x v="0"/>
    <s v=""/>
    <x v="0"/>
    <n v="-66.900000000000006"/>
  </r>
  <r>
    <d v="2026-04-13T00:00:00"/>
    <d v="2026-12-10T00:00:00"/>
    <s v="EMPRÉSTIMO - Empréstimo Pessoal - Banco"/>
    <n v="391"/>
    <s v="Creditas"/>
    <x v="5"/>
    <x v="1"/>
    <s v="CONSIGNADO"/>
    <x v="1"/>
    <x v="0"/>
    <x v="4"/>
    <x v="29"/>
    <n v="0"/>
    <n v="289.84000000000003"/>
    <n v="0"/>
    <x v="0"/>
    <x v="0"/>
    <x v="8"/>
    <x v="0"/>
    <s v=""/>
    <x v="0"/>
    <n v="-391"/>
  </r>
  <r>
    <d v="2026-04-13T00:00:00"/>
    <d v="2027-01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9"/>
    <x v="1"/>
    <s v=""/>
    <x v="0"/>
    <n v="-391"/>
  </r>
  <r>
    <d v="2026-04-13T00:00:00"/>
    <d v="2027-02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10"/>
    <x v="1"/>
    <s v=""/>
    <x v="0"/>
    <n v="-391"/>
  </r>
  <r>
    <d v="2026-04-13T00:00:00"/>
    <d v="2027-03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11"/>
    <x v="1"/>
    <s v=""/>
    <x v="0"/>
    <n v="-391"/>
  </r>
  <r>
    <d v="2026-04-13T00:00:00"/>
    <d v="2027-04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0"/>
    <x v="1"/>
    <s v=""/>
    <x v="0"/>
    <n v="-391"/>
  </r>
  <r>
    <d v="2026-04-13T00:00:00"/>
    <d v="2027-05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1"/>
    <x v="1"/>
    <s v=""/>
    <x v="0"/>
    <n v="-391"/>
  </r>
  <r>
    <d v="2026-04-13T00:00:00"/>
    <d v="2027-06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2"/>
    <x v="1"/>
    <s v=""/>
    <x v="0"/>
    <n v="-391"/>
  </r>
  <r>
    <d v="2026-04-13T00:00:00"/>
    <d v="2027-07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3"/>
    <x v="1"/>
    <s v=""/>
    <x v="0"/>
    <n v="-391"/>
  </r>
  <r>
    <d v="2026-04-13T00:00:00"/>
    <d v="2027-08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4"/>
    <x v="1"/>
    <s v=""/>
    <x v="0"/>
    <n v="-391"/>
  </r>
  <r>
    <d v="2026-04-13T00:00:00"/>
    <d v="2027-09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5"/>
    <x v="1"/>
    <s v=""/>
    <x v="0"/>
    <n v="-391"/>
  </r>
  <r>
    <d v="2026-04-13T00:00:00"/>
    <d v="2027-10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6"/>
    <x v="1"/>
    <s v=""/>
    <x v="0"/>
    <n v="-391"/>
  </r>
  <r>
    <d v="2026-04-13T00:00:00"/>
    <d v="2027-11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7"/>
    <x v="1"/>
    <s v=""/>
    <x v="0"/>
    <n v="-391"/>
  </r>
  <r>
    <d v="2026-04-13T00:00:00"/>
    <d v="2027-12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8"/>
    <x v="1"/>
    <s v=""/>
    <x v="0"/>
    <n v="-391"/>
  </r>
  <r>
    <d v="2026-04-13T00:00:00"/>
    <d v="2028-01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9"/>
    <x v="2"/>
    <s v=""/>
    <x v="0"/>
    <n v="-391"/>
  </r>
  <r>
    <d v="2026-04-13T00:00:00"/>
    <d v="2028-02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10"/>
    <x v="2"/>
    <s v=""/>
    <x v="0"/>
    <n v="-391"/>
  </r>
  <r>
    <d v="2026-04-13T00:00:00"/>
    <d v="2028-03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11"/>
    <x v="2"/>
    <s v=""/>
    <x v="0"/>
    <n v="-391"/>
  </r>
  <r>
    <d v="2026-04-13T00:00:00"/>
    <d v="2028-04-10T00:00:00"/>
    <s v="EMPRÉSTIMO - Empréstimo Pessoal - Banco"/>
    <n v="391"/>
    <s v="Creditas"/>
    <x v="5"/>
    <x v="1"/>
    <s v="CONSIGNADO"/>
    <x v="1"/>
    <x v="0"/>
    <x v="4"/>
    <x v="29"/>
    <n v="0"/>
    <n v="391"/>
    <n v="0"/>
    <x v="0"/>
    <x v="0"/>
    <x v="0"/>
    <x v="2"/>
    <s v=""/>
    <x v="0"/>
    <n v="-391"/>
  </r>
  <r>
    <d v="2026-04-13T00:00:00"/>
    <d v="2026-05-05T00:00:00"/>
    <s v="EMPRÉSTIMO - Empréstimo Pessoal - Banco"/>
    <n v="1000"/>
    <s v="Creditas"/>
    <x v="5"/>
    <x v="1"/>
    <s v="CONSIGNADO"/>
    <x v="1"/>
    <x v="0"/>
    <x v="4"/>
    <x v="29"/>
    <n v="0"/>
    <n v="395.536"/>
    <n v="0"/>
    <x v="0"/>
    <x v="0"/>
    <x v="1"/>
    <x v="0"/>
    <s v=""/>
    <x v="0"/>
    <n v="-1000"/>
  </r>
  <r>
    <m/>
    <m/>
    <m/>
    <m/>
    <m/>
    <x v="7"/>
    <x v="2"/>
    <m/>
    <x v="2"/>
    <x v="2"/>
    <x v="12"/>
    <x v="30"/>
    <n v="0"/>
    <n v="0"/>
    <n v="0"/>
    <x v="0"/>
    <x v="0"/>
    <x v="9"/>
    <x v="3"/>
    <s v=""/>
    <x v="0"/>
    <n v="0"/>
  </r>
  <r>
    <m/>
    <m/>
    <m/>
    <m/>
    <m/>
    <x v="7"/>
    <x v="2"/>
    <m/>
    <x v="2"/>
    <x v="2"/>
    <x v="12"/>
    <x v="30"/>
    <n v="0"/>
    <n v="0"/>
    <n v="0"/>
    <x v="0"/>
    <x v="0"/>
    <x v="9"/>
    <x v="3"/>
    <s v=""/>
    <x v="0"/>
    <n v="0"/>
  </r>
  <r>
    <m/>
    <m/>
    <m/>
    <m/>
    <m/>
    <x v="7"/>
    <x v="2"/>
    <m/>
    <x v="2"/>
    <x v="2"/>
    <x v="12"/>
    <x v="30"/>
    <n v="0"/>
    <n v="0"/>
    <n v="0"/>
    <x v="0"/>
    <x v="0"/>
    <x v="9"/>
    <x v="3"/>
    <s v=""/>
    <x v="0"/>
    <n v="0"/>
  </r>
  <r>
    <m/>
    <m/>
    <m/>
    <m/>
    <m/>
    <x v="7"/>
    <x v="2"/>
    <m/>
    <x v="2"/>
    <x v="2"/>
    <x v="12"/>
    <x v="30"/>
    <n v="0"/>
    <n v="0"/>
    <n v="0"/>
    <x v="0"/>
    <x v="0"/>
    <x v="9"/>
    <x v="3"/>
    <s v=""/>
    <x v="0"/>
    <n v="0"/>
  </r>
  <r>
    <d v="2026-06-01T00:00:00"/>
    <d v="2026-06-15T00:00:00"/>
    <s v="INVESTIMENTOS - Projeto 1"/>
    <n v="460"/>
    <s v="Pix"/>
    <x v="8"/>
    <x v="0"/>
    <m/>
    <x v="1"/>
    <x v="0"/>
    <x v="13"/>
    <x v="31"/>
    <n v="0"/>
    <n v="460"/>
    <n v="0"/>
    <x v="0"/>
    <x v="0"/>
    <x v="2"/>
    <x v="0"/>
    <s v=""/>
    <x v="0"/>
    <n v="-460"/>
  </r>
  <r>
    <d v="2026-06-01T00:00:00"/>
    <d v="2026-07-09T00:00:00"/>
    <s v="SAÚDE - Medicamentos / Farmácia"/>
    <n v="60"/>
    <s v="Pix"/>
    <x v="0"/>
    <x v="1"/>
    <s v="Farmacia para nenem"/>
    <x v="0"/>
    <x v="0"/>
    <x v="9"/>
    <x v="23"/>
    <n v="0"/>
    <n v="60"/>
    <n v="0"/>
    <x v="0"/>
    <x v="0"/>
    <x v="3"/>
    <x v="0"/>
    <s v=""/>
    <x v="0"/>
    <n v="-60"/>
  </r>
  <r>
    <d v="2026-06-01T00:00:00"/>
    <d v="2026-07-09T00:00:00"/>
    <s v="RESGATES - Venda de Objetos"/>
    <n v="175"/>
    <s v="Pix"/>
    <x v="9"/>
    <x v="1"/>
    <s v="Teclado"/>
    <x v="1"/>
    <x v="1"/>
    <x v="14"/>
    <x v="32"/>
    <n v="0"/>
    <n v="205"/>
    <n v="0"/>
    <x v="0"/>
    <x v="0"/>
    <x v="3"/>
    <x v="0"/>
    <s v=""/>
    <x v="0"/>
    <n v="175"/>
  </r>
  <r>
    <d v="2026-06-01T00:00:00"/>
    <d v="2026-07-09T00:00:00"/>
    <s v="RESGATES - Venda de Objetos"/>
    <n v="250"/>
    <s v="Pix"/>
    <x v="10"/>
    <x v="1"/>
    <s v="Memoria"/>
    <x v="1"/>
    <x v="1"/>
    <x v="14"/>
    <x v="32"/>
    <n v="0"/>
    <n v="205"/>
    <n v="0"/>
    <x v="0"/>
    <x v="0"/>
    <x v="3"/>
    <x v="0"/>
    <s v=""/>
    <x v="0"/>
    <n v="250"/>
  </r>
  <r>
    <d v="2026-06-01T00:00:00"/>
    <d v="2026-07-09T00:00:00"/>
    <s v="RESGATES - Venda de Objetos"/>
    <n v="400"/>
    <s v="Pix"/>
    <x v="11"/>
    <x v="1"/>
    <s v="Monitor"/>
    <x v="1"/>
    <x v="1"/>
    <x v="14"/>
    <x v="32"/>
    <n v="0"/>
    <n v="205"/>
    <n v="0"/>
    <x v="0"/>
    <x v="0"/>
    <x v="3"/>
    <x v="0"/>
    <s v=""/>
    <x v="0"/>
    <n v="400"/>
  </r>
  <r>
    <d v="2026-06-01T00:00:00"/>
    <d v="2026-07-09T00:00:00"/>
    <s v="RESGATES - Venda de Objetos"/>
    <n v="100"/>
    <s v="Pix"/>
    <x v="3"/>
    <x v="1"/>
    <s v="Conta valorant"/>
    <x v="1"/>
    <x v="1"/>
    <x v="14"/>
    <x v="32"/>
    <n v="0"/>
    <n v="205"/>
    <n v="0"/>
    <x v="0"/>
    <x v="0"/>
    <x v="3"/>
    <x v="0"/>
    <s v=""/>
    <x v="0"/>
    <n v="100"/>
  </r>
  <r>
    <d v="2026-06-01T00:00:00"/>
    <d v="2026-07-09T00:00:00"/>
    <s v="RESGATES - Venda de Objetos"/>
    <n v="100"/>
    <s v="Pix"/>
    <x v="3"/>
    <x v="1"/>
    <s v="Placa mae"/>
    <x v="1"/>
    <x v="1"/>
    <x v="14"/>
    <x v="32"/>
    <n v="0"/>
    <n v="205"/>
    <n v="0"/>
    <x v="0"/>
    <x v="0"/>
    <x v="3"/>
    <x v="0"/>
    <s v=""/>
    <x v="0"/>
    <n v="100"/>
  </r>
  <r>
    <d v="2026-06-01T00:00:00"/>
    <d v="2026-07-09T00:00:00"/>
    <s v="EMPRÉSTIMO - Parcelamento Cartão de Crédito"/>
    <n v="430"/>
    <s v="Pix"/>
    <x v="1"/>
    <x v="1"/>
    <s v="Cartão renner"/>
    <x v="1"/>
    <x v="0"/>
    <x v="4"/>
    <x v="5"/>
    <n v="0"/>
    <n v="332.42"/>
    <n v="0"/>
    <x v="0"/>
    <x v="0"/>
    <x v="3"/>
    <x v="0"/>
    <s v=""/>
    <x v="0"/>
    <n v="-4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86458-ADFA-482A-AA83-7746044DB2B6}" name="CartaoXFatura" cacheId="134" applyNumberFormats="0" applyBorderFormats="0" applyFontFormats="0" applyPatternFormats="0" applyAlignmentFormats="0" applyWidthHeightFormats="1" dataCaption="Valores" updatedVersion="8" minRefreshableVersion="3" showDrill="0" rowGrandTotals="0" itemPrintTitles="1" createdVersion="8" indent="0" showHeaders="0" outline="1" outlineData="1" multipleFieldFilters="0">
  <location ref="B12:C14" firstHeaderRow="1" firstDataRow="3" firstDataCol="1"/>
  <pivotFields count="22">
    <pivotField showAll="0"/>
    <pivotField numFmtId="165" showAll="0"/>
    <pivotField showAll="0"/>
    <pivotField dataField="1"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axis="axisCol" showAll="0">
      <items count="21">
        <item x="9"/>
        <item m="1" x="18"/>
        <item x="11"/>
        <item m="1" x="12"/>
        <item m="1" x="13"/>
        <item x="2"/>
        <item x="3"/>
        <item m="1" x="14"/>
        <item m="1" x="15"/>
        <item m="1" x="16"/>
        <item x="7"/>
        <item m="1" x="17"/>
        <item m="1" x="19"/>
        <item x="0"/>
        <item x="1"/>
        <item x="4"/>
        <item x="5"/>
        <item x="6"/>
        <item x="8"/>
        <item x="10"/>
        <item t="default"/>
      </items>
    </pivotField>
    <pivotField axis="axisCol" showAll="0">
      <items count="7">
        <item m="1" x="4"/>
        <item m="1" x="5"/>
        <item x="0"/>
        <item x="3"/>
        <item x="1"/>
        <item x="2"/>
        <item t="default"/>
      </items>
    </pivotField>
    <pivotField showAll="0"/>
    <pivotField axis="axisRow" showAll="0">
      <items count="5">
        <item h="1" x="0"/>
        <item m="1" x="2"/>
        <item m="1" x="3"/>
        <item h="1" m="1" x="1"/>
        <item t="default"/>
      </items>
    </pivotField>
    <pivotField showAll="0"/>
  </pivotFields>
  <rowFields count="1">
    <field x="20"/>
  </rowFields>
  <colFields count="2">
    <field x="18"/>
    <field x="17"/>
  </colFields>
  <colItems count="1">
    <i t="grand">
      <x/>
    </i>
  </colItems>
  <dataFields count="1">
    <dataField name="Soma de Valor" fld="3" baseField="20" baseItem="1" numFmtId="3"/>
  </dataFields>
  <formats count="8">
    <format dxfId="186">
      <pivotArea outline="0" collapsedLevelsAreSubtotals="1" fieldPosition="0"/>
    </format>
    <format dxfId="185">
      <pivotArea type="topRight" dataOnly="0" labelOnly="1" outline="0" fieldPosition="0"/>
    </format>
    <format dxfId="184">
      <pivotArea dataOnly="0" labelOnly="1" fieldPosition="0">
        <references count="1">
          <reference field="18" count="0"/>
        </references>
      </pivotArea>
    </format>
    <format dxfId="183">
      <pivotArea dataOnly="0" labelOnly="1" fieldPosition="0">
        <references count="1">
          <reference field="18" count="0" defaultSubtotal="1"/>
        </references>
      </pivotArea>
    </format>
    <format dxfId="182">
      <pivotArea dataOnly="0" labelOnly="1" grandCol="1" outline="0" fieldPosition="0"/>
    </format>
    <format dxfId="181">
      <pivotArea dataOnly="0" labelOnly="1" fieldPosition="0">
        <references count="2">
          <reference field="1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8" count="1" selected="0">
            <x v="0"/>
          </reference>
        </references>
      </pivotArea>
    </format>
    <format dxfId="180">
      <pivotArea dataOnly="0" labelOnly="1" fieldPosition="0">
        <references count="2">
          <reference field="17" count="0"/>
          <reference field="18" count="1" selected="0">
            <x v="1"/>
          </reference>
        </references>
      </pivotArea>
    </format>
    <format dxfId="179">
      <pivotArea dataOnly="0" labelOnly="1" fieldPosition="0">
        <references count="2">
          <reference field="17" count="1">
            <x v="0"/>
          </reference>
          <reference field="18" count="1" selected="0">
            <x v="2"/>
          </reference>
        </references>
      </pivotArea>
    </format>
  </formats>
  <pivotTableStyleInfo name="Planilha Pessoal V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164675-FCA4-4ECF-9ABE-9B7F713E042A}" name="Fluxo de Caixa" cacheId="134" applyNumberFormats="0" applyBorderFormats="0" applyFontFormats="0" applyPatternFormats="0" applyAlignmentFormats="0" applyWidthHeightFormats="1" dataCaption="Valores" updatedVersion="8" minRefreshableVersion="3" showDrill="0" itemPrintTitles="1" createdVersion="8" indent="0" showHeaders="0" outline="1" outlineData="1" multipleFieldFilters="0">
  <location ref="B18:AG79" firstHeaderRow="1" firstDataRow="3" firstDataCol="1"/>
  <pivotFields count="22">
    <pivotField showAll="0"/>
    <pivotField numFmtId="165" showAll="0"/>
    <pivotField showAll="0"/>
    <pivotField numFmtId="4" showAll="0"/>
    <pivotField showAll="0"/>
    <pivotField showAll="0"/>
    <pivotField showAll="0"/>
    <pivotField showAll="0"/>
    <pivotField axis="axisRow" showAll="0">
      <items count="6">
        <item h="1" m="1" x="4"/>
        <item x="0"/>
        <item x="1"/>
        <item x="2"/>
        <item h="1" m="1" x="3"/>
        <item t="default"/>
      </items>
    </pivotField>
    <pivotField axis="axisRow" showAll="0">
      <items count="5">
        <item x="1"/>
        <item x="0"/>
        <item x="2"/>
        <item m="1" x="3"/>
        <item t="default"/>
      </items>
    </pivotField>
    <pivotField axis="axisRow" showAll="0">
      <items count="29">
        <item x="8"/>
        <item x="2"/>
        <item x="10"/>
        <item x="11"/>
        <item m="1" x="17"/>
        <item m="1" x="24"/>
        <item x="4"/>
        <item m="1" x="19"/>
        <item x="13"/>
        <item x="5"/>
        <item x="0"/>
        <item m="1" x="27"/>
        <item m="1" x="21"/>
        <item x="3"/>
        <item m="1" x="25"/>
        <item m="1" x="16"/>
        <item x="7"/>
        <item x="6"/>
        <item x="14"/>
        <item x="9"/>
        <item m="1" x="26"/>
        <item m="1" x="18"/>
        <item x="1"/>
        <item x="12"/>
        <item m="1" x="22"/>
        <item m="1" x="23"/>
        <item m="1" x="20"/>
        <item m="1" x="15"/>
        <item t="default"/>
      </items>
    </pivotField>
    <pivotField axis="axisRow" showAll="0">
      <items count="165">
        <item m="1" x="65"/>
        <item m="1" x="64"/>
        <item m="1" x="56"/>
        <item m="1" x="133"/>
        <item x="0"/>
        <item m="1" x="47"/>
        <item m="1" x="61"/>
        <item m="1" x="73"/>
        <item m="1" x="161"/>
        <item m="1" x="141"/>
        <item m="1" x="87"/>
        <item x="4"/>
        <item m="1" x="125"/>
        <item m="1" x="136"/>
        <item m="1" x="135"/>
        <item m="1" x="122"/>
        <item m="1" x="83"/>
        <item m="1" x="80"/>
        <item m="1" x="127"/>
        <item m="1" x="120"/>
        <item m="1" x="75"/>
        <item m="1" x="57"/>
        <item m="1" x="96"/>
        <item x="1"/>
        <item m="1" x="46"/>
        <item m="1" x="153"/>
        <item m="1" x="131"/>
        <item m="1" x="118"/>
        <item m="1" x="93"/>
        <item m="1" x="94"/>
        <item m="1" x="108"/>
        <item m="1" x="126"/>
        <item m="1" x="149"/>
        <item m="1" x="138"/>
        <item m="1" x="129"/>
        <item x="29"/>
        <item m="1" x="36"/>
        <item m="1" x="155"/>
        <item m="1" x="159"/>
        <item m="1" x="48"/>
        <item m="1" x="71"/>
        <item m="1" x="33"/>
        <item m="1" x="100"/>
        <item m="1" x="72"/>
        <item m="1" x="82"/>
        <item m="1" x="62"/>
        <item m="1" x="63"/>
        <item m="1" x="152"/>
        <item m="1" x="89"/>
        <item m="1" x="116"/>
        <item m="1" x="112"/>
        <item m="1" x="85"/>
        <item m="1" x="81"/>
        <item m="1" x="58"/>
        <item x="2"/>
        <item m="1" x="35"/>
        <item m="1" x="52"/>
        <item m="1" x="158"/>
        <item m="1" x="157"/>
        <item x="22"/>
        <item m="1" x="106"/>
        <item m="1" x="113"/>
        <item m="1" x="103"/>
        <item m="1" x="121"/>
        <item m="1" x="139"/>
        <item m="1" x="53"/>
        <item m="1" x="90"/>
        <item x="23"/>
        <item m="1" x="134"/>
        <item m="1" x="69"/>
        <item m="1" x="34"/>
        <item m="1" x="109"/>
        <item x="21"/>
        <item m="1" x="102"/>
        <item m="1" x="99"/>
        <item m="1" x="137"/>
        <item m="1" x="140"/>
        <item m="1" x="119"/>
        <item m="1" x="128"/>
        <item m="1" x="160"/>
        <item m="1" x="124"/>
        <item m="1" x="154"/>
        <item x="28"/>
        <item m="1" x="95"/>
        <item m="1" x="151"/>
        <item m="1" x="115"/>
        <item m="1" x="145"/>
        <item m="1" x="110"/>
        <item m="1" x="148"/>
        <item m="1" x="107"/>
        <item m="1" x="101"/>
        <item m="1" x="77"/>
        <item x="5"/>
        <item m="1" x="68"/>
        <item m="1" x="84"/>
        <item m="1" x="104"/>
        <item m="1" x="66"/>
        <item m="1" x="123"/>
        <item m="1" x="54"/>
        <item m="1" x="117"/>
        <item m="1" x="67"/>
        <item x="26"/>
        <item x="25"/>
        <item m="1" x="143"/>
        <item m="1" x="144"/>
        <item m="1" x="142"/>
        <item x="31"/>
        <item m="1" x="162"/>
        <item m="1" x="163"/>
        <item m="1" x="45"/>
        <item m="1" x="51"/>
        <item m="1" x="92"/>
        <item m="1" x="130"/>
        <item m="1" x="156"/>
        <item m="1" x="150"/>
        <item m="1" x="88"/>
        <item m="1" x="55"/>
        <item m="1" x="44"/>
        <item x="20"/>
        <item m="1" x="70"/>
        <item m="1" x="147"/>
        <item m="1" x="146"/>
        <item m="1" x="91"/>
        <item m="1" x="49"/>
        <item x="27"/>
        <item m="1" x="114"/>
        <item m="1" x="60"/>
        <item m="1" x="105"/>
        <item m="1" x="50"/>
        <item m="1" x="97"/>
        <item m="1" x="74"/>
        <item m="1" x="98"/>
        <item x="24"/>
        <item x="32"/>
        <item m="1" x="111"/>
        <item m="1" x="132"/>
        <item m="1" x="59"/>
        <item m="1" x="86"/>
        <item x="30"/>
        <item m="1" x="78"/>
        <item m="1" x="79"/>
        <item m="1" x="76"/>
        <item m="1" x="43"/>
        <item m="1" x="37"/>
        <item m="1" x="38"/>
        <item x="3"/>
        <item m="1" x="39"/>
        <item m="1" x="40"/>
        <item m="1" x="41"/>
        <item x="6"/>
        <item x="7"/>
        <item m="1" x="42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numFmtId="2" showAll="0"/>
    <pivotField showAll="0"/>
    <pivotField showAll="0"/>
    <pivotField showAll="0"/>
    <pivotField axis="axisCol" showAll="0">
      <items count="21">
        <item x="9"/>
        <item m="1" x="18"/>
        <item x="11"/>
        <item m="1" x="12"/>
        <item m="1" x="13"/>
        <item x="2"/>
        <item x="3"/>
        <item m="1" x="14"/>
        <item m="1" x="15"/>
        <item m="1" x="16"/>
        <item x="7"/>
        <item m="1" x="17"/>
        <item m="1" x="19"/>
        <item x="0"/>
        <item x="1"/>
        <item x="4"/>
        <item x="5"/>
        <item x="6"/>
        <item x="8"/>
        <item x="10"/>
        <item t="default"/>
      </items>
    </pivotField>
    <pivotField axis="axisCol" showAll="0">
      <items count="7">
        <item m="1" x="4"/>
        <item m="1" x="5"/>
        <item x="0"/>
        <item x="3"/>
        <item x="1"/>
        <item x="2"/>
        <item t="default"/>
      </items>
    </pivotField>
    <pivotField showAll="0"/>
    <pivotField showAll="0"/>
    <pivotField dataField="1" showAll="0"/>
  </pivotFields>
  <rowFields count="4">
    <field x="8"/>
    <field x="9"/>
    <field x="10"/>
    <field x="11"/>
  </rowFields>
  <rowItems count="59">
    <i>
      <x v="1"/>
    </i>
    <i r="1">
      <x/>
    </i>
    <i r="2">
      <x v="16"/>
    </i>
    <i r="3">
      <x v="72"/>
    </i>
    <i r="2">
      <x v="17"/>
    </i>
    <i r="3">
      <x v="118"/>
    </i>
    <i r="1">
      <x v="1"/>
    </i>
    <i r="2">
      <x/>
    </i>
    <i r="3">
      <x v="59"/>
    </i>
    <i r="3">
      <x v="124"/>
    </i>
    <i r="2">
      <x v="1"/>
    </i>
    <i r="3">
      <x v="11"/>
    </i>
    <i r="3">
      <x v="54"/>
    </i>
    <i r="2">
      <x v="2"/>
    </i>
    <i r="3">
      <x v="102"/>
    </i>
    <i r="2">
      <x v="3"/>
    </i>
    <i r="3">
      <x v="101"/>
    </i>
    <i r="2">
      <x v="9"/>
    </i>
    <i r="3">
      <x v="82"/>
    </i>
    <i r="2">
      <x v="10"/>
    </i>
    <i r="3">
      <x v="4"/>
    </i>
    <i r="3">
      <x v="132"/>
    </i>
    <i r="2">
      <x v="19"/>
    </i>
    <i r="3">
      <x v="67"/>
    </i>
    <i r="2">
      <x v="22"/>
    </i>
    <i r="3">
      <x v="23"/>
    </i>
    <i>
      <x v="2"/>
    </i>
    <i r="1">
      <x/>
    </i>
    <i r="2">
      <x v="9"/>
    </i>
    <i r="3">
      <x v="163"/>
    </i>
    <i r="2">
      <x v="18"/>
    </i>
    <i r="3">
      <x v="133"/>
    </i>
    <i r="1">
      <x v="1"/>
    </i>
    <i r="2">
      <x v="6"/>
    </i>
    <i r="3">
      <x v="35"/>
    </i>
    <i r="3">
      <x v="92"/>
    </i>
    <i r="2">
      <x v="8"/>
    </i>
    <i r="3">
      <x v="106"/>
    </i>
    <i r="2">
      <x v="9"/>
    </i>
    <i r="3">
      <x v="149"/>
    </i>
    <i r="3">
      <x v="150"/>
    </i>
    <i r="3">
      <x v="152"/>
    </i>
    <i r="3">
      <x v="153"/>
    </i>
    <i r="3">
      <x v="154"/>
    </i>
    <i r="3">
      <x v="155"/>
    </i>
    <i r="3">
      <x v="156"/>
    </i>
    <i r="3">
      <x v="157"/>
    </i>
    <i r="3">
      <x v="158"/>
    </i>
    <i r="3">
      <x v="159"/>
    </i>
    <i r="3">
      <x v="160"/>
    </i>
    <i r="3">
      <x v="161"/>
    </i>
    <i r="3">
      <x v="162"/>
    </i>
    <i r="2">
      <x v="13"/>
    </i>
    <i r="3">
      <x v="145"/>
    </i>
    <i>
      <x v="3"/>
    </i>
    <i r="1">
      <x v="2"/>
    </i>
    <i r="2">
      <x v="23"/>
    </i>
    <i r="3">
      <x v="138"/>
    </i>
    <i t="grand">
      <x/>
    </i>
  </rowItems>
  <colFields count="2">
    <field x="18"/>
    <field x="17"/>
  </colFields>
  <colItems count="31">
    <i>
      <x v="2"/>
      <x v="5"/>
    </i>
    <i r="1">
      <x v="6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t="default">
      <x v="2"/>
    </i>
    <i>
      <x v="3"/>
      <x/>
    </i>
    <i t="default">
      <x v="3"/>
    </i>
    <i>
      <x v="4"/>
      <x/>
    </i>
    <i r="1">
      <x v="2"/>
    </i>
    <i r="1">
      <x v="5"/>
    </i>
    <i r="1">
      <x v="6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default">
      <x v="4"/>
    </i>
    <i>
      <x v="5"/>
      <x/>
    </i>
    <i r="1">
      <x v="2"/>
    </i>
    <i r="1">
      <x v="13"/>
    </i>
    <i r="1">
      <x v="19"/>
    </i>
    <i t="default">
      <x v="5"/>
    </i>
    <i t="grand">
      <x/>
    </i>
  </colItems>
  <dataFields count="1">
    <dataField name="Soma de SALDO" fld="21" baseField="11" baseItem="37" numFmtId="3"/>
  </dataFields>
  <formats count="210">
    <format dxfId="396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3"/>
          </reference>
          <reference field="11" count="5">
            <x v="61"/>
            <x v="85"/>
            <x v="116"/>
            <x v="125"/>
            <x v="134"/>
          </reference>
        </references>
      </pivotArea>
    </format>
    <format dxfId="395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9"/>
          </reference>
        </references>
      </pivotArea>
    </format>
    <format dxfId="394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9"/>
          </reference>
          <reference field="11" count="6">
            <x v="30"/>
            <x v="67"/>
            <x v="71"/>
            <x v="87"/>
            <x v="98"/>
            <x v="130"/>
          </reference>
        </references>
      </pivotArea>
    </format>
    <format dxfId="393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21"/>
          </reference>
        </references>
      </pivotArea>
    </format>
    <format dxfId="392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1" count="4">
            <x v="7"/>
            <x v="80"/>
            <x v="97"/>
            <x v="126"/>
          </reference>
        </references>
      </pivotArea>
    </format>
    <format dxfId="391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22"/>
          </reference>
        </references>
      </pivotArea>
    </format>
    <format dxfId="390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2"/>
          </reference>
          <reference field="11" count="12">
            <x v="23"/>
            <x v="40"/>
            <x v="56"/>
            <x v="60"/>
            <x v="62"/>
            <x v="65"/>
            <x v="69"/>
            <x v="70"/>
            <x v="89"/>
            <x v="95"/>
            <x v="119"/>
            <x v="127"/>
          </reference>
        </references>
      </pivotArea>
    </format>
    <format dxfId="389">
      <pivotArea collapsedLevelsAreSubtotals="1" fieldPosition="0">
        <references count="2">
          <reference field="8" count="1" selected="0">
            <x v="1"/>
          </reference>
          <reference field="9" count="1">
            <x v="0"/>
          </reference>
        </references>
      </pivotArea>
    </format>
    <format dxfId="388">
      <pivotArea collapsedLevelsAreSubtotals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1">
            <x v="15"/>
          </reference>
        </references>
      </pivotArea>
    </format>
    <format dxfId="387">
      <pivotArea collapsedLevelsAreSubtotals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5"/>
          </reference>
          <reference field="11" count="6">
            <x v="0"/>
            <x v="16"/>
            <x v="43"/>
            <x v="51"/>
            <x v="94"/>
            <x v="117"/>
          </reference>
        </references>
      </pivotArea>
    </format>
    <format dxfId="386">
      <pivotArea collapsedLevelsAreSubtotals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1">
            <x v="16"/>
          </reference>
        </references>
      </pivotArea>
    </format>
    <format dxfId="385">
      <pivotArea collapsedLevelsAreSubtotals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1" count="6">
            <x v="10"/>
            <x v="72"/>
            <x v="96"/>
            <x v="109"/>
            <x v="115"/>
            <x v="137"/>
          </reference>
        </references>
      </pivotArea>
    </format>
    <format dxfId="384">
      <pivotArea collapsedLevelsAreSubtotals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1">
            <x v="17"/>
          </reference>
        </references>
      </pivotArea>
    </format>
    <format dxfId="383">
      <pivotArea collapsedLevelsAreSubtotals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7"/>
          </reference>
          <reference field="11" count="6">
            <x v="1"/>
            <x v="17"/>
            <x v="44"/>
            <x v="52"/>
            <x v="93"/>
            <x v="118"/>
          </reference>
        </references>
      </pivotArea>
    </format>
    <format dxfId="382">
      <pivotArea grandRow="1" outline="0" collapsedLevelsAreSubtotals="1" fieldPosition="0"/>
    </format>
    <format dxfId="381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3"/>
          </reference>
          <reference field="11" count="5">
            <x v="61"/>
            <x v="85"/>
            <x v="116"/>
            <x v="125"/>
            <x v="134"/>
          </reference>
        </references>
      </pivotArea>
    </format>
    <format dxfId="380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9"/>
          </reference>
        </references>
      </pivotArea>
    </format>
    <format dxfId="379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9"/>
          </reference>
          <reference field="11" count="6">
            <x v="30"/>
            <x v="67"/>
            <x v="71"/>
            <x v="87"/>
            <x v="98"/>
            <x v="130"/>
          </reference>
        </references>
      </pivotArea>
    </format>
    <format dxfId="378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21"/>
          </reference>
        </references>
      </pivotArea>
    </format>
    <format dxfId="377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1" count="4">
            <x v="7"/>
            <x v="80"/>
            <x v="97"/>
            <x v="126"/>
          </reference>
        </references>
      </pivotArea>
    </format>
    <format dxfId="376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22"/>
          </reference>
        </references>
      </pivotArea>
    </format>
    <format dxfId="375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2"/>
          </reference>
          <reference field="11" count="12">
            <x v="23"/>
            <x v="40"/>
            <x v="56"/>
            <x v="60"/>
            <x v="62"/>
            <x v="65"/>
            <x v="69"/>
            <x v="70"/>
            <x v="89"/>
            <x v="95"/>
            <x v="119"/>
            <x v="127"/>
          </reference>
        </references>
      </pivotArea>
    </format>
    <format dxfId="374">
      <pivotArea collapsedLevelsAreSubtotals="1" fieldPosition="0">
        <references count="2">
          <reference field="8" count="1" selected="0">
            <x v="1"/>
          </reference>
          <reference field="9" count="1">
            <x v="0"/>
          </reference>
        </references>
      </pivotArea>
    </format>
    <format dxfId="373">
      <pivotArea collapsedLevelsAreSubtotals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1">
            <x v="15"/>
          </reference>
        </references>
      </pivotArea>
    </format>
    <format dxfId="372">
      <pivotArea collapsedLevelsAreSubtotals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5"/>
          </reference>
          <reference field="11" count="6">
            <x v="0"/>
            <x v="16"/>
            <x v="43"/>
            <x v="51"/>
            <x v="94"/>
            <x v="117"/>
          </reference>
        </references>
      </pivotArea>
    </format>
    <format dxfId="371">
      <pivotArea collapsedLevelsAreSubtotals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1">
            <x v="16"/>
          </reference>
        </references>
      </pivotArea>
    </format>
    <format dxfId="370">
      <pivotArea collapsedLevelsAreSubtotals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1" count="6">
            <x v="10"/>
            <x v="72"/>
            <x v="96"/>
            <x v="109"/>
            <x v="115"/>
            <x v="137"/>
          </reference>
        </references>
      </pivotArea>
    </format>
    <format dxfId="369">
      <pivotArea collapsedLevelsAreSubtotals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1">
            <x v="17"/>
          </reference>
        </references>
      </pivotArea>
    </format>
    <format dxfId="368">
      <pivotArea collapsedLevelsAreSubtotals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7"/>
          </reference>
          <reference field="11" count="6">
            <x v="1"/>
            <x v="17"/>
            <x v="44"/>
            <x v="52"/>
            <x v="93"/>
            <x v="118"/>
          </reference>
        </references>
      </pivotArea>
    </format>
    <format dxfId="367">
      <pivotArea grandRow="1" outline="0" collapsedLevelsAreSubtotals="1" fieldPosition="0"/>
    </format>
    <format dxfId="366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"/>
          </reference>
          <reference field="11" count="4">
            <x v="75"/>
            <x v="102"/>
            <x v="112"/>
            <x v="135"/>
          </reference>
        </references>
      </pivotArea>
    </format>
    <format dxfId="365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3"/>
          </reference>
        </references>
      </pivotArea>
    </format>
    <format dxfId="364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3"/>
          </reference>
          <reference field="11" count="5">
            <x v="6"/>
            <x v="33"/>
            <x v="64"/>
            <x v="76"/>
            <x v="101"/>
          </reference>
        </references>
      </pivotArea>
    </format>
    <format dxfId="363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4"/>
          </reference>
        </references>
      </pivotArea>
    </format>
    <format dxfId="362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4"/>
          </reference>
          <reference field="11" count="6">
            <x v="21"/>
            <x v="27"/>
            <x v="49"/>
            <x v="53"/>
            <x v="77"/>
            <x v="99"/>
          </reference>
        </references>
      </pivotArea>
    </format>
    <format dxfId="361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5"/>
          </reference>
        </references>
      </pivotArea>
    </format>
    <format dxfId="360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5"/>
          </reference>
          <reference field="11" count="4">
            <x v="12"/>
            <x v="18"/>
            <x v="31"/>
            <x v="78"/>
          </reference>
        </references>
      </pivotArea>
    </format>
    <format dxfId="359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9"/>
          </reference>
        </references>
      </pivotArea>
    </format>
    <format dxfId="358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9"/>
          </reference>
          <reference field="11" count="6">
            <x v="15"/>
            <x v="19"/>
            <x v="20"/>
            <x v="63"/>
            <x v="82"/>
            <x v="136"/>
          </reference>
        </references>
      </pivotArea>
    </format>
    <format dxfId="357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0"/>
          </reference>
        </references>
      </pivotArea>
    </format>
    <format dxfId="356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0"/>
          </reference>
          <reference field="11" count="14">
            <x v="4"/>
            <x v="5"/>
            <x v="24"/>
            <x v="28"/>
            <x v="29"/>
            <x v="39"/>
            <x v="48"/>
            <x v="55"/>
            <x v="66"/>
            <x v="83"/>
            <x v="111"/>
            <x v="122"/>
            <x v="123"/>
            <x v="132"/>
          </reference>
        </references>
      </pivotArea>
    </format>
    <format dxfId="355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3"/>
          </reference>
        </references>
      </pivotArea>
    </format>
    <format dxfId="354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3"/>
          </reference>
          <reference field="11" count="3">
            <x v="2"/>
            <x v="41"/>
            <x v="50"/>
          </reference>
        </references>
      </pivotArea>
    </format>
    <format dxfId="353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"/>
          </reference>
          <reference field="11" count="4">
            <x v="75"/>
            <x v="102"/>
            <x v="112"/>
            <x v="135"/>
          </reference>
        </references>
      </pivotArea>
    </format>
    <format dxfId="352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3"/>
          </reference>
        </references>
      </pivotArea>
    </format>
    <format dxfId="351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3"/>
          </reference>
          <reference field="11" count="5">
            <x v="6"/>
            <x v="33"/>
            <x v="64"/>
            <x v="76"/>
            <x v="101"/>
          </reference>
        </references>
      </pivotArea>
    </format>
    <format dxfId="350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4"/>
          </reference>
        </references>
      </pivotArea>
    </format>
    <format dxfId="349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4"/>
          </reference>
          <reference field="11" count="6">
            <x v="21"/>
            <x v="27"/>
            <x v="49"/>
            <x v="53"/>
            <x v="77"/>
            <x v="99"/>
          </reference>
        </references>
      </pivotArea>
    </format>
    <format dxfId="348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5"/>
          </reference>
        </references>
      </pivotArea>
    </format>
    <format dxfId="347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5"/>
          </reference>
          <reference field="11" count="4">
            <x v="12"/>
            <x v="18"/>
            <x v="31"/>
            <x v="78"/>
          </reference>
        </references>
      </pivotArea>
    </format>
    <format dxfId="346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9"/>
          </reference>
        </references>
      </pivotArea>
    </format>
    <format dxfId="345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9"/>
          </reference>
          <reference field="11" count="6">
            <x v="15"/>
            <x v="19"/>
            <x v="20"/>
            <x v="63"/>
            <x v="82"/>
            <x v="136"/>
          </reference>
        </references>
      </pivotArea>
    </format>
    <format dxfId="344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0"/>
          </reference>
        </references>
      </pivotArea>
    </format>
    <format dxfId="343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0"/>
          </reference>
          <reference field="11" count="14">
            <x v="4"/>
            <x v="5"/>
            <x v="24"/>
            <x v="28"/>
            <x v="29"/>
            <x v="39"/>
            <x v="48"/>
            <x v="55"/>
            <x v="66"/>
            <x v="83"/>
            <x v="111"/>
            <x v="122"/>
            <x v="123"/>
            <x v="132"/>
          </reference>
        </references>
      </pivotArea>
    </format>
    <format dxfId="342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3"/>
          </reference>
        </references>
      </pivotArea>
    </format>
    <format dxfId="341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3"/>
          </reference>
          <reference field="11" count="3">
            <x v="2"/>
            <x v="41"/>
            <x v="50"/>
          </reference>
        </references>
      </pivotArea>
    </format>
    <format dxfId="340">
      <pivotArea collapsedLevelsAreSubtotals="1" fieldPosition="0">
        <references count="1">
          <reference field="8" count="1">
            <x v="2"/>
          </reference>
        </references>
      </pivotArea>
    </format>
    <format dxfId="339">
      <pivotArea collapsedLevelsAreSubtotals="1" fieldPosition="0">
        <references count="2">
          <reference field="8" count="1" selected="0">
            <x v="2"/>
          </reference>
          <reference field="9" count="1">
            <x v="1"/>
          </reference>
        </references>
      </pivotArea>
    </format>
    <format dxfId="338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6"/>
          </reference>
        </references>
      </pivotArea>
    </format>
    <format dxfId="337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6"/>
          </reference>
          <reference field="11" count="9">
            <x v="35"/>
            <x v="36"/>
            <x v="37"/>
            <x v="38"/>
            <x v="57"/>
            <x v="58"/>
            <x v="79"/>
            <x v="92"/>
            <x v="113"/>
          </reference>
        </references>
      </pivotArea>
    </format>
    <format dxfId="336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7"/>
          </reference>
        </references>
      </pivotArea>
    </format>
    <format dxfId="335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7"/>
          </reference>
          <reference field="11" count="5">
            <x v="25"/>
            <x v="45"/>
            <x v="46"/>
            <x v="47"/>
            <x v="81"/>
          </reference>
        </references>
      </pivotArea>
    </format>
    <format dxfId="334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8"/>
          </reference>
        </references>
      </pivotArea>
    </format>
    <format dxfId="333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8"/>
          </reference>
          <reference field="11" count="4">
            <x v="8"/>
            <x v="106"/>
            <x v="107"/>
            <x v="108"/>
          </reference>
        </references>
      </pivotArea>
    </format>
    <format dxfId="332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11"/>
          </reference>
        </references>
      </pivotArea>
    </format>
    <format dxfId="331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1"/>
          </reference>
          <reference field="11" count="3">
            <x v="32"/>
            <x v="84"/>
            <x v="114"/>
          </reference>
        </references>
      </pivotArea>
    </format>
    <format dxfId="330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14"/>
          </reference>
        </references>
      </pivotArea>
    </format>
    <format dxfId="329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4"/>
          </reference>
          <reference field="11" count="4">
            <x v="86"/>
            <x v="103"/>
            <x v="104"/>
            <x v="105"/>
          </reference>
        </references>
      </pivotArea>
    </format>
    <format dxfId="328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20"/>
          </reference>
        </references>
      </pivotArea>
    </format>
    <format dxfId="327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20"/>
          </reference>
          <reference field="11" count="3">
            <x v="88"/>
            <x v="120"/>
            <x v="121"/>
          </reference>
        </references>
      </pivotArea>
    </format>
    <format dxfId="326">
      <pivotArea collapsedLevelsAreSubtotals="1" fieldPosition="0">
        <references count="2">
          <reference field="8" count="1" selected="0">
            <x v="2"/>
          </reference>
          <reference field="9" count="1">
            <x v="0"/>
          </reference>
        </references>
      </pivotArea>
    </format>
    <format dxfId="325">
      <pivotArea collapsedLevelsAreSubtotals="1" fieldPosition="0">
        <references count="3">
          <reference field="8" count="1" selected="0">
            <x v="2"/>
          </reference>
          <reference field="9" count="1" selected="0">
            <x v="0"/>
          </reference>
          <reference field="10" count="1">
            <x v="18"/>
          </reference>
        </references>
      </pivotArea>
    </format>
    <format dxfId="324">
      <pivotArea collapsedLevelsAreSubtotals="1" fieldPosition="0">
        <references count="4">
          <reference field="8" count="1" selected="0">
            <x v="2"/>
          </reference>
          <reference field="9" count="1" selected="0">
            <x v="0"/>
          </reference>
          <reference field="10" count="1" selected="0">
            <x v="18"/>
          </reference>
          <reference field="11" count="3">
            <x v="9"/>
            <x v="100"/>
            <x v="133"/>
          </reference>
        </references>
      </pivotArea>
    </format>
    <format dxfId="323">
      <pivotArea collapsedLevelsAreSubtotals="1" fieldPosition="0">
        <references count="1">
          <reference field="8" count="1">
            <x v="1"/>
          </reference>
        </references>
      </pivotArea>
    </format>
    <format dxfId="322">
      <pivotArea collapsedLevelsAreSubtotals="1" fieldPosition="0">
        <references count="2">
          <reference field="8" count="1" selected="0">
            <x v="1"/>
          </reference>
          <reference field="9" count="1">
            <x v="1"/>
          </reference>
        </references>
      </pivotArea>
    </format>
    <format dxfId="321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0"/>
          </reference>
        </references>
      </pivotArea>
    </format>
    <format dxfId="320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1" count="6">
            <x v="42"/>
            <x v="59"/>
            <x v="73"/>
            <x v="90"/>
            <x v="110"/>
            <x v="124"/>
          </reference>
        </references>
      </pivotArea>
    </format>
    <format dxfId="319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"/>
          </reference>
        </references>
      </pivotArea>
    </format>
    <format dxfId="318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1" count="7">
            <x v="11"/>
            <x v="22"/>
            <x v="54"/>
            <x v="74"/>
            <x v="128"/>
            <x v="129"/>
            <x v="131"/>
          </reference>
        </references>
      </pivotArea>
    </format>
    <format dxfId="317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2"/>
          </reference>
        </references>
      </pivotArea>
    </format>
    <format dxfId="316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"/>
          </reference>
          <reference field="11" count="6">
            <x v="3"/>
            <x v="13"/>
            <x v="14"/>
            <x v="26"/>
            <x v="34"/>
            <x v="68"/>
          </reference>
        </references>
      </pivotArea>
    </format>
    <format dxfId="315">
      <pivotArea dataOnly="0" labelOnly="1" fieldPosition="0">
        <references count="2">
          <reference field="17" count="0"/>
          <reference field="18" count="1" selected="0">
            <x v="0"/>
          </reference>
        </references>
      </pivotArea>
    </format>
    <format dxfId="314">
      <pivotArea collapsedLevelsAreSubtotals="1" fieldPosition="0">
        <references count="1">
          <reference field="8" count="1">
            <x v="2"/>
          </reference>
        </references>
      </pivotArea>
    </format>
    <format dxfId="313">
      <pivotArea collapsedLevelsAreSubtotals="1" fieldPosition="0">
        <references count="2">
          <reference field="8" count="1" selected="0">
            <x v="2"/>
          </reference>
          <reference field="9" count="1">
            <x v="1"/>
          </reference>
        </references>
      </pivotArea>
    </format>
    <format dxfId="312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6"/>
          </reference>
        </references>
      </pivotArea>
    </format>
    <format dxfId="311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6"/>
          </reference>
          <reference field="11" count="9">
            <x v="35"/>
            <x v="36"/>
            <x v="37"/>
            <x v="38"/>
            <x v="57"/>
            <x v="58"/>
            <x v="79"/>
            <x v="92"/>
            <x v="113"/>
          </reference>
        </references>
      </pivotArea>
    </format>
    <format dxfId="310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7"/>
          </reference>
        </references>
      </pivotArea>
    </format>
    <format dxfId="309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7"/>
          </reference>
          <reference field="11" count="5">
            <x v="25"/>
            <x v="45"/>
            <x v="46"/>
            <x v="47"/>
            <x v="81"/>
          </reference>
        </references>
      </pivotArea>
    </format>
    <format dxfId="308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8"/>
          </reference>
        </references>
      </pivotArea>
    </format>
    <format dxfId="307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8"/>
          </reference>
          <reference field="11" count="4">
            <x v="8"/>
            <x v="106"/>
            <x v="107"/>
            <x v="108"/>
          </reference>
        </references>
      </pivotArea>
    </format>
    <format dxfId="306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11"/>
          </reference>
        </references>
      </pivotArea>
    </format>
    <format dxfId="305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1"/>
          </reference>
          <reference field="11" count="3">
            <x v="32"/>
            <x v="84"/>
            <x v="114"/>
          </reference>
        </references>
      </pivotArea>
    </format>
    <format dxfId="304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14"/>
          </reference>
        </references>
      </pivotArea>
    </format>
    <format dxfId="303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4"/>
          </reference>
          <reference field="11" count="4">
            <x v="86"/>
            <x v="103"/>
            <x v="104"/>
            <x v="105"/>
          </reference>
        </references>
      </pivotArea>
    </format>
    <format dxfId="302">
      <pivotArea collapsedLevelsAreSubtotals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1">
            <x v="20"/>
          </reference>
        </references>
      </pivotArea>
    </format>
    <format dxfId="301">
      <pivotArea collapsedLevelsAreSubtotals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20"/>
          </reference>
          <reference field="11" count="3">
            <x v="88"/>
            <x v="120"/>
            <x v="121"/>
          </reference>
        </references>
      </pivotArea>
    </format>
    <format dxfId="300">
      <pivotArea collapsedLevelsAreSubtotals="1" fieldPosition="0">
        <references count="2">
          <reference field="8" count="1" selected="0">
            <x v="2"/>
          </reference>
          <reference field="9" count="1">
            <x v="0"/>
          </reference>
        </references>
      </pivotArea>
    </format>
    <format dxfId="299">
      <pivotArea collapsedLevelsAreSubtotals="1" fieldPosition="0">
        <references count="3">
          <reference field="8" count="1" selected="0">
            <x v="2"/>
          </reference>
          <reference field="9" count="1" selected="0">
            <x v="0"/>
          </reference>
          <reference field="10" count="1">
            <x v="18"/>
          </reference>
        </references>
      </pivotArea>
    </format>
    <format dxfId="298">
      <pivotArea collapsedLevelsAreSubtotals="1" fieldPosition="0">
        <references count="4">
          <reference field="8" count="1" selected="0">
            <x v="2"/>
          </reference>
          <reference field="9" count="1" selected="0">
            <x v="0"/>
          </reference>
          <reference field="10" count="1" selected="0">
            <x v="18"/>
          </reference>
          <reference field="11" count="3">
            <x v="9"/>
            <x v="100"/>
            <x v="133"/>
          </reference>
        </references>
      </pivotArea>
    </format>
    <format dxfId="297">
      <pivotArea collapsedLevelsAreSubtotals="1" fieldPosition="0">
        <references count="1">
          <reference field="8" count="1">
            <x v="1"/>
          </reference>
        </references>
      </pivotArea>
    </format>
    <format dxfId="296">
      <pivotArea collapsedLevelsAreSubtotals="1" fieldPosition="0">
        <references count="2">
          <reference field="8" count="1" selected="0">
            <x v="1"/>
          </reference>
          <reference field="9" count="1">
            <x v="1"/>
          </reference>
        </references>
      </pivotArea>
    </format>
    <format dxfId="295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0"/>
          </reference>
        </references>
      </pivotArea>
    </format>
    <format dxfId="294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1" count="6">
            <x v="42"/>
            <x v="59"/>
            <x v="73"/>
            <x v="90"/>
            <x v="110"/>
            <x v="124"/>
          </reference>
        </references>
      </pivotArea>
    </format>
    <format dxfId="293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1"/>
          </reference>
        </references>
      </pivotArea>
    </format>
    <format dxfId="292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1" count="7">
            <x v="11"/>
            <x v="22"/>
            <x v="54"/>
            <x v="74"/>
            <x v="128"/>
            <x v="129"/>
            <x v="131"/>
          </reference>
        </references>
      </pivotArea>
    </format>
    <format dxfId="291">
      <pivotArea collapsedLevelsAreSubtotals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">
            <x v="2"/>
          </reference>
        </references>
      </pivotArea>
    </format>
    <format dxfId="290">
      <pivotArea collapsedLevelsAreSubtotals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"/>
          </reference>
          <reference field="11" count="6">
            <x v="3"/>
            <x v="13"/>
            <x v="14"/>
            <x v="26"/>
            <x v="34"/>
            <x v="68"/>
          </reference>
        </references>
      </pivotArea>
    </format>
    <format dxfId="289">
      <pivotArea dataOnly="0" labelOnly="1" fieldPosition="0">
        <references count="1">
          <reference field="18" count="0"/>
        </references>
      </pivotArea>
    </format>
    <format dxfId="288">
      <pivotArea dataOnly="0" labelOnly="1" fieldPosition="0">
        <references count="1">
          <reference field="18" count="0" defaultSubtotal="1"/>
        </references>
      </pivotArea>
    </format>
    <format dxfId="287">
      <pivotArea dataOnly="0" labelOnly="1" grandCol="1" outline="0" fieldPosition="0"/>
    </format>
    <format dxfId="286">
      <pivotArea dataOnly="0" labelOnly="1" fieldPosition="0">
        <references count="2">
          <reference field="17" count="0"/>
          <reference field="18" count="1" selected="0">
            <x v="0"/>
          </reference>
        </references>
      </pivotArea>
    </format>
    <format dxfId="285">
      <pivotArea dataOnly="0" labelOnly="1" fieldPosition="0">
        <references count="2">
          <reference field="17" count="4">
            <x v="0"/>
            <x v="1"/>
            <x v="2"/>
            <x v="3"/>
          </reference>
          <reference field="18" count="1" selected="0">
            <x v="1"/>
          </reference>
        </references>
      </pivotArea>
    </format>
    <format dxfId="284">
      <pivotArea dataOnly="0" labelOnly="1" fieldPosition="0">
        <references count="1">
          <reference field="8" count="0"/>
        </references>
      </pivotArea>
    </format>
    <format dxfId="283">
      <pivotArea dataOnly="0" labelOnly="1" grandRow="1" outline="0" fieldPosition="0"/>
    </format>
    <format dxfId="282">
      <pivotArea dataOnly="0" labelOnly="1" fieldPosition="0">
        <references count="2">
          <reference field="8" count="1" selected="0">
            <x v="2"/>
          </reference>
          <reference field="9" count="0"/>
        </references>
      </pivotArea>
    </format>
    <format dxfId="281">
      <pivotArea dataOnly="0" labelOnly="1" fieldPosition="0">
        <references count="2">
          <reference field="8" count="1" selected="0">
            <x v="1"/>
          </reference>
          <reference field="9" count="0"/>
        </references>
      </pivotArea>
    </format>
    <format dxfId="280">
      <pivotArea dataOnly="0" labelOnly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6">
            <x v="6"/>
            <x v="7"/>
            <x v="8"/>
            <x v="11"/>
            <x v="14"/>
            <x v="20"/>
          </reference>
        </references>
      </pivotArea>
    </format>
    <format dxfId="279">
      <pivotArea dataOnly="0" labelOnly="1" fieldPosition="0">
        <references count="3">
          <reference field="8" count="1" selected="0">
            <x v="2"/>
          </reference>
          <reference field="9" count="1" selected="0">
            <x v="0"/>
          </reference>
          <reference field="10" count="1">
            <x v="18"/>
          </reference>
        </references>
      </pivotArea>
    </format>
    <format dxfId="278">
      <pivotArea dataOnly="0" labelOnly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2">
            <x v="0"/>
            <x v="1"/>
            <x v="2"/>
            <x v="3"/>
            <x v="4"/>
            <x v="5"/>
            <x v="9"/>
            <x v="10"/>
            <x v="13"/>
            <x v="19"/>
            <x v="21"/>
            <x v="22"/>
          </reference>
        </references>
      </pivotArea>
    </format>
    <format dxfId="277">
      <pivotArea dataOnly="0" labelOnly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3">
            <x v="15"/>
            <x v="16"/>
            <x v="17"/>
          </reference>
        </references>
      </pivotArea>
    </format>
    <format dxfId="276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6"/>
          </reference>
          <reference field="11" count="9">
            <x v="35"/>
            <x v="36"/>
            <x v="37"/>
            <x v="38"/>
            <x v="57"/>
            <x v="58"/>
            <x v="79"/>
            <x v="92"/>
            <x v="113"/>
          </reference>
        </references>
      </pivotArea>
    </format>
    <format dxfId="275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7"/>
          </reference>
          <reference field="11" count="5">
            <x v="25"/>
            <x v="45"/>
            <x v="46"/>
            <x v="47"/>
            <x v="81"/>
          </reference>
        </references>
      </pivotArea>
    </format>
    <format dxfId="274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8"/>
          </reference>
          <reference field="11" count="4">
            <x v="8"/>
            <x v="106"/>
            <x v="107"/>
            <x v="108"/>
          </reference>
        </references>
      </pivotArea>
    </format>
    <format dxfId="273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1"/>
          </reference>
          <reference field="11" count="3">
            <x v="32"/>
            <x v="84"/>
            <x v="114"/>
          </reference>
        </references>
      </pivotArea>
    </format>
    <format dxfId="272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4"/>
          </reference>
          <reference field="11" count="4">
            <x v="86"/>
            <x v="103"/>
            <x v="104"/>
            <x v="105"/>
          </reference>
        </references>
      </pivotArea>
    </format>
    <format dxfId="271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20"/>
          </reference>
          <reference field="11" count="3">
            <x v="88"/>
            <x v="120"/>
            <x v="121"/>
          </reference>
        </references>
      </pivotArea>
    </format>
    <format dxfId="270">
      <pivotArea dataOnly="0" labelOnly="1" fieldPosition="0">
        <references count="4">
          <reference field="8" count="1" selected="0">
            <x v="2"/>
          </reference>
          <reference field="9" count="1" selected="0">
            <x v="0"/>
          </reference>
          <reference field="10" count="1" selected="0">
            <x v="18"/>
          </reference>
          <reference field="11" count="3">
            <x v="9"/>
            <x v="100"/>
            <x v="133"/>
          </reference>
        </references>
      </pivotArea>
    </format>
    <format dxfId="269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1" count="6">
            <x v="42"/>
            <x v="59"/>
            <x v="73"/>
            <x v="90"/>
            <x v="110"/>
            <x v="124"/>
          </reference>
        </references>
      </pivotArea>
    </format>
    <format dxfId="268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1" count="7">
            <x v="11"/>
            <x v="22"/>
            <x v="54"/>
            <x v="74"/>
            <x v="128"/>
            <x v="129"/>
            <x v="131"/>
          </reference>
        </references>
      </pivotArea>
    </format>
    <format dxfId="267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"/>
          </reference>
          <reference field="11" count="10">
            <x v="3"/>
            <x v="13"/>
            <x v="14"/>
            <x v="26"/>
            <x v="34"/>
            <x v="68"/>
            <x v="75"/>
            <x v="102"/>
            <x v="112"/>
            <x v="135"/>
          </reference>
        </references>
      </pivotArea>
    </format>
    <format dxfId="266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3"/>
          </reference>
          <reference field="11" count="5">
            <x v="6"/>
            <x v="33"/>
            <x v="64"/>
            <x v="76"/>
            <x v="101"/>
          </reference>
        </references>
      </pivotArea>
    </format>
    <format dxfId="265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4"/>
          </reference>
          <reference field="11" count="6">
            <x v="21"/>
            <x v="27"/>
            <x v="49"/>
            <x v="53"/>
            <x v="77"/>
            <x v="99"/>
          </reference>
        </references>
      </pivotArea>
    </format>
    <format dxfId="264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5"/>
          </reference>
          <reference field="11" count="4">
            <x v="12"/>
            <x v="18"/>
            <x v="31"/>
            <x v="78"/>
          </reference>
        </references>
      </pivotArea>
    </format>
    <format dxfId="263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9"/>
          </reference>
          <reference field="11" count="6">
            <x v="15"/>
            <x v="19"/>
            <x v="20"/>
            <x v="63"/>
            <x v="82"/>
            <x v="136"/>
          </reference>
        </references>
      </pivotArea>
    </format>
    <format dxfId="262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0"/>
          </reference>
          <reference field="11" count="14">
            <x v="4"/>
            <x v="5"/>
            <x v="24"/>
            <x v="28"/>
            <x v="29"/>
            <x v="39"/>
            <x v="48"/>
            <x v="55"/>
            <x v="66"/>
            <x v="83"/>
            <x v="111"/>
            <x v="122"/>
            <x v="123"/>
            <x v="132"/>
          </reference>
        </references>
      </pivotArea>
    </format>
    <format dxfId="261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3"/>
          </reference>
          <reference field="11" count="8">
            <x v="2"/>
            <x v="41"/>
            <x v="50"/>
            <x v="61"/>
            <x v="85"/>
            <x v="116"/>
            <x v="125"/>
            <x v="134"/>
          </reference>
        </references>
      </pivotArea>
    </format>
    <format dxfId="260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9"/>
          </reference>
          <reference field="11" count="6">
            <x v="30"/>
            <x v="67"/>
            <x v="71"/>
            <x v="87"/>
            <x v="98"/>
            <x v="130"/>
          </reference>
        </references>
      </pivotArea>
    </format>
    <format dxfId="259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1" count="4">
            <x v="7"/>
            <x v="80"/>
            <x v="97"/>
            <x v="126"/>
          </reference>
        </references>
      </pivotArea>
    </format>
    <format dxfId="258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2"/>
          </reference>
          <reference field="11" count="12">
            <x v="23"/>
            <x v="40"/>
            <x v="56"/>
            <x v="60"/>
            <x v="62"/>
            <x v="65"/>
            <x v="69"/>
            <x v="70"/>
            <x v="89"/>
            <x v="95"/>
            <x v="119"/>
            <x v="127"/>
          </reference>
        </references>
      </pivotArea>
    </format>
    <format dxfId="257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5"/>
          </reference>
          <reference field="11" count="6">
            <x v="0"/>
            <x v="16"/>
            <x v="43"/>
            <x v="51"/>
            <x v="94"/>
            <x v="117"/>
          </reference>
        </references>
      </pivotArea>
    </format>
    <format dxfId="256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1" count="6">
            <x v="10"/>
            <x v="72"/>
            <x v="96"/>
            <x v="109"/>
            <x v="115"/>
            <x v="137"/>
          </reference>
        </references>
      </pivotArea>
    </format>
    <format dxfId="255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7"/>
          </reference>
          <reference field="11" count="6">
            <x v="1"/>
            <x v="17"/>
            <x v="44"/>
            <x v="52"/>
            <x v="93"/>
            <x v="118"/>
          </reference>
        </references>
      </pivotArea>
    </format>
    <format dxfId="254">
      <pivotArea dataOnly="0" labelOnly="1" fieldPosition="0">
        <references count="1">
          <reference field="8" count="0"/>
        </references>
      </pivotArea>
    </format>
    <format dxfId="253">
      <pivotArea dataOnly="0" labelOnly="1" grandRow="1" outline="0" fieldPosition="0"/>
    </format>
    <format dxfId="252">
      <pivotArea dataOnly="0" labelOnly="1" fieldPosition="0">
        <references count="2">
          <reference field="8" count="1" selected="0">
            <x v="2"/>
          </reference>
          <reference field="9" count="0"/>
        </references>
      </pivotArea>
    </format>
    <format dxfId="251">
      <pivotArea dataOnly="0" labelOnly="1" fieldPosition="0">
        <references count="2">
          <reference field="8" count="1" selected="0">
            <x v="1"/>
          </reference>
          <reference field="9" count="0"/>
        </references>
      </pivotArea>
    </format>
    <format dxfId="250">
      <pivotArea dataOnly="0" labelOnly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6">
            <x v="6"/>
            <x v="7"/>
            <x v="8"/>
            <x v="11"/>
            <x v="14"/>
            <x v="20"/>
          </reference>
        </references>
      </pivotArea>
    </format>
    <format dxfId="249">
      <pivotArea dataOnly="0" labelOnly="1" fieldPosition="0">
        <references count="3">
          <reference field="8" count="1" selected="0">
            <x v="2"/>
          </reference>
          <reference field="9" count="1" selected="0">
            <x v="0"/>
          </reference>
          <reference field="10" count="1">
            <x v="18"/>
          </reference>
        </references>
      </pivotArea>
    </format>
    <format dxfId="248">
      <pivotArea dataOnly="0" labelOnly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2">
            <x v="0"/>
            <x v="1"/>
            <x v="2"/>
            <x v="3"/>
            <x v="4"/>
            <x v="5"/>
            <x v="9"/>
            <x v="10"/>
            <x v="13"/>
            <x v="19"/>
            <x v="21"/>
            <x v="22"/>
          </reference>
        </references>
      </pivotArea>
    </format>
    <format dxfId="247">
      <pivotArea dataOnly="0" labelOnly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3">
            <x v="15"/>
            <x v="16"/>
            <x v="17"/>
          </reference>
        </references>
      </pivotArea>
    </format>
    <format dxfId="246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6"/>
          </reference>
          <reference field="11" count="9">
            <x v="35"/>
            <x v="36"/>
            <x v="37"/>
            <x v="38"/>
            <x v="57"/>
            <x v="58"/>
            <x v="79"/>
            <x v="92"/>
            <x v="113"/>
          </reference>
        </references>
      </pivotArea>
    </format>
    <format dxfId="245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7"/>
          </reference>
          <reference field="11" count="5">
            <x v="25"/>
            <x v="45"/>
            <x v="46"/>
            <x v="47"/>
            <x v="81"/>
          </reference>
        </references>
      </pivotArea>
    </format>
    <format dxfId="244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8"/>
          </reference>
          <reference field="11" count="4">
            <x v="8"/>
            <x v="106"/>
            <x v="107"/>
            <x v="108"/>
          </reference>
        </references>
      </pivotArea>
    </format>
    <format dxfId="243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1"/>
          </reference>
          <reference field="11" count="3">
            <x v="32"/>
            <x v="84"/>
            <x v="114"/>
          </reference>
        </references>
      </pivotArea>
    </format>
    <format dxfId="242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4"/>
          </reference>
          <reference field="11" count="4">
            <x v="86"/>
            <x v="103"/>
            <x v="104"/>
            <x v="105"/>
          </reference>
        </references>
      </pivotArea>
    </format>
    <format dxfId="241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20"/>
          </reference>
          <reference field="11" count="3">
            <x v="88"/>
            <x v="120"/>
            <x v="121"/>
          </reference>
        </references>
      </pivotArea>
    </format>
    <format dxfId="240">
      <pivotArea dataOnly="0" labelOnly="1" fieldPosition="0">
        <references count="4">
          <reference field="8" count="1" selected="0">
            <x v="2"/>
          </reference>
          <reference field="9" count="1" selected="0">
            <x v="0"/>
          </reference>
          <reference field="10" count="1" selected="0">
            <x v="18"/>
          </reference>
          <reference field="11" count="3">
            <x v="9"/>
            <x v="100"/>
            <x v="133"/>
          </reference>
        </references>
      </pivotArea>
    </format>
    <format dxfId="239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1" count="6">
            <x v="42"/>
            <x v="59"/>
            <x v="73"/>
            <x v="90"/>
            <x v="110"/>
            <x v="124"/>
          </reference>
        </references>
      </pivotArea>
    </format>
    <format dxfId="238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1" count="7">
            <x v="11"/>
            <x v="22"/>
            <x v="54"/>
            <x v="74"/>
            <x v="128"/>
            <x v="129"/>
            <x v="131"/>
          </reference>
        </references>
      </pivotArea>
    </format>
    <format dxfId="237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"/>
          </reference>
          <reference field="11" count="10">
            <x v="3"/>
            <x v="13"/>
            <x v="14"/>
            <x v="26"/>
            <x v="34"/>
            <x v="68"/>
            <x v="75"/>
            <x v="102"/>
            <x v="112"/>
            <x v="135"/>
          </reference>
        </references>
      </pivotArea>
    </format>
    <format dxfId="236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3"/>
          </reference>
          <reference field="11" count="5">
            <x v="6"/>
            <x v="33"/>
            <x v="64"/>
            <x v="76"/>
            <x v="101"/>
          </reference>
        </references>
      </pivotArea>
    </format>
    <format dxfId="235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4"/>
          </reference>
          <reference field="11" count="6">
            <x v="21"/>
            <x v="27"/>
            <x v="49"/>
            <x v="53"/>
            <x v="77"/>
            <x v="99"/>
          </reference>
        </references>
      </pivotArea>
    </format>
    <format dxfId="234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5"/>
          </reference>
          <reference field="11" count="4">
            <x v="12"/>
            <x v="18"/>
            <x v="31"/>
            <x v="78"/>
          </reference>
        </references>
      </pivotArea>
    </format>
    <format dxfId="233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9"/>
          </reference>
          <reference field="11" count="6">
            <x v="15"/>
            <x v="19"/>
            <x v="20"/>
            <x v="63"/>
            <x v="82"/>
            <x v="136"/>
          </reference>
        </references>
      </pivotArea>
    </format>
    <format dxfId="232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0"/>
          </reference>
          <reference field="11" count="14">
            <x v="4"/>
            <x v="5"/>
            <x v="24"/>
            <x v="28"/>
            <x v="29"/>
            <x v="39"/>
            <x v="48"/>
            <x v="55"/>
            <x v="66"/>
            <x v="83"/>
            <x v="111"/>
            <x v="122"/>
            <x v="123"/>
            <x v="132"/>
          </reference>
        </references>
      </pivotArea>
    </format>
    <format dxfId="231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3"/>
          </reference>
          <reference field="11" count="8">
            <x v="2"/>
            <x v="41"/>
            <x v="50"/>
            <x v="61"/>
            <x v="85"/>
            <x v="116"/>
            <x v="125"/>
            <x v="134"/>
          </reference>
        </references>
      </pivotArea>
    </format>
    <format dxfId="230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9"/>
          </reference>
          <reference field="11" count="6">
            <x v="30"/>
            <x v="67"/>
            <x v="71"/>
            <x v="87"/>
            <x v="98"/>
            <x v="130"/>
          </reference>
        </references>
      </pivotArea>
    </format>
    <format dxfId="229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1" count="4">
            <x v="7"/>
            <x v="80"/>
            <x v="97"/>
            <x v="126"/>
          </reference>
        </references>
      </pivotArea>
    </format>
    <format dxfId="228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2"/>
          </reference>
          <reference field="11" count="12">
            <x v="23"/>
            <x v="40"/>
            <x v="56"/>
            <x v="60"/>
            <x v="62"/>
            <x v="65"/>
            <x v="69"/>
            <x v="70"/>
            <x v="89"/>
            <x v="95"/>
            <x v="119"/>
            <x v="127"/>
          </reference>
        </references>
      </pivotArea>
    </format>
    <format dxfId="227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5"/>
          </reference>
          <reference field="11" count="6">
            <x v="0"/>
            <x v="16"/>
            <x v="43"/>
            <x v="51"/>
            <x v="94"/>
            <x v="117"/>
          </reference>
        </references>
      </pivotArea>
    </format>
    <format dxfId="226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1" count="6">
            <x v="10"/>
            <x v="72"/>
            <x v="96"/>
            <x v="109"/>
            <x v="115"/>
            <x v="137"/>
          </reference>
        </references>
      </pivotArea>
    </format>
    <format dxfId="225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7"/>
          </reference>
          <reference field="11" count="6">
            <x v="1"/>
            <x v="17"/>
            <x v="44"/>
            <x v="52"/>
            <x v="93"/>
            <x v="118"/>
          </reference>
        </references>
      </pivotArea>
    </format>
    <format dxfId="224">
      <pivotArea dataOnly="0" labelOnly="1" fieldPosition="0">
        <references count="1">
          <reference field="8" count="0"/>
        </references>
      </pivotArea>
    </format>
    <format dxfId="223">
      <pivotArea dataOnly="0" labelOnly="1" grandRow="1" outline="0" fieldPosition="0"/>
    </format>
    <format dxfId="222">
      <pivotArea dataOnly="0" labelOnly="1" fieldPosition="0">
        <references count="2">
          <reference field="8" count="1" selected="0">
            <x v="2"/>
          </reference>
          <reference field="9" count="0"/>
        </references>
      </pivotArea>
    </format>
    <format dxfId="221">
      <pivotArea dataOnly="0" labelOnly="1" fieldPosition="0">
        <references count="2">
          <reference field="8" count="1" selected="0">
            <x v="1"/>
          </reference>
          <reference field="9" count="0"/>
        </references>
      </pivotArea>
    </format>
    <format dxfId="220">
      <pivotArea dataOnly="0" labelOnly="1" fieldPosition="0">
        <references count="3">
          <reference field="8" count="1" selected="0">
            <x v="2"/>
          </reference>
          <reference field="9" count="1" selected="0">
            <x v="1"/>
          </reference>
          <reference field="10" count="6">
            <x v="6"/>
            <x v="7"/>
            <x v="8"/>
            <x v="11"/>
            <x v="14"/>
            <x v="20"/>
          </reference>
        </references>
      </pivotArea>
    </format>
    <format dxfId="219">
      <pivotArea dataOnly="0" labelOnly="1" fieldPosition="0">
        <references count="3">
          <reference field="8" count="1" selected="0">
            <x v="2"/>
          </reference>
          <reference field="9" count="1" selected="0">
            <x v="0"/>
          </reference>
          <reference field="10" count="1">
            <x v="18"/>
          </reference>
        </references>
      </pivotArea>
    </format>
    <format dxfId="218">
      <pivotArea dataOnly="0" labelOnly="1" fieldPosition="0">
        <references count="3">
          <reference field="8" count="1" selected="0">
            <x v="1"/>
          </reference>
          <reference field="9" count="1" selected="0">
            <x v="1"/>
          </reference>
          <reference field="10" count="12">
            <x v="0"/>
            <x v="1"/>
            <x v="2"/>
            <x v="3"/>
            <x v="4"/>
            <x v="5"/>
            <x v="9"/>
            <x v="10"/>
            <x v="13"/>
            <x v="19"/>
            <x v="21"/>
            <x v="22"/>
          </reference>
        </references>
      </pivotArea>
    </format>
    <format dxfId="217">
      <pivotArea dataOnly="0" labelOnly="1" fieldPosition="0">
        <references count="3">
          <reference field="8" count="1" selected="0">
            <x v="1"/>
          </reference>
          <reference field="9" count="1" selected="0">
            <x v="0"/>
          </reference>
          <reference field="10" count="3">
            <x v="15"/>
            <x v="16"/>
            <x v="17"/>
          </reference>
        </references>
      </pivotArea>
    </format>
    <format dxfId="216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6"/>
          </reference>
          <reference field="11" count="9">
            <x v="35"/>
            <x v="36"/>
            <x v="37"/>
            <x v="38"/>
            <x v="57"/>
            <x v="58"/>
            <x v="79"/>
            <x v="92"/>
            <x v="113"/>
          </reference>
        </references>
      </pivotArea>
    </format>
    <format dxfId="215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7"/>
          </reference>
          <reference field="11" count="5">
            <x v="25"/>
            <x v="45"/>
            <x v="46"/>
            <x v="47"/>
            <x v="81"/>
          </reference>
        </references>
      </pivotArea>
    </format>
    <format dxfId="214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8"/>
          </reference>
          <reference field="11" count="4">
            <x v="8"/>
            <x v="106"/>
            <x v="107"/>
            <x v="108"/>
          </reference>
        </references>
      </pivotArea>
    </format>
    <format dxfId="213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1"/>
          </reference>
          <reference field="11" count="3">
            <x v="32"/>
            <x v="84"/>
            <x v="114"/>
          </reference>
        </references>
      </pivotArea>
    </format>
    <format dxfId="212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14"/>
          </reference>
          <reference field="11" count="4">
            <x v="86"/>
            <x v="103"/>
            <x v="104"/>
            <x v="105"/>
          </reference>
        </references>
      </pivotArea>
    </format>
    <format dxfId="211">
      <pivotArea dataOnly="0" labelOnly="1" fieldPosition="0">
        <references count="4">
          <reference field="8" count="1" selected="0">
            <x v="2"/>
          </reference>
          <reference field="9" count="1" selected="0">
            <x v="1"/>
          </reference>
          <reference field="10" count="1" selected="0">
            <x v="20"/>
          </reference>
          <reference field="11" count="3">
            <x v="88"/>
            <x v="120"/>
            <x v="121"/>
          </reference>
        </references>
      </pivotArea>
    </format>
    <format dxfId="210">
      <pivotArea dataOnly="0" labelOnly="1" fieldPosition="0">
        <references count="4">
          <reference field="8" count="1" selected="0">
            <x v="2"/>
          </reference>
          <reference field="9" count="1" selected="0">
            <x v="0"/>
          </reference>
          <reference field="10" count="1" selected="0">
            <x v="18"/>
          </reference>
          <reference field="11" count="3">
            <x v="9"/>
            <x v="100"/>
            <x v="133"/>
          </reference>
        </references>
      </pivotArea>
    </format>
    <format dxfId="209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1" count="6">
            <x v="42"/>
            <x v="59"/>
            <x v="73"/>
            <x v="90"/>
            <x v="110"/>
            <x v="124"/>
          </reference>
        </references>
      </pivotArea>
    </format>
    <format dxfId="208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1" count="7">
            <x v="11"/>
            <x v="22"/>
            <x v="54"/>
            <x v="74"/>
            <x v="128"/>
            <x v="129"/>
            <x v="131"/>
          </reference>
        </references>
      </pivotArea>
    </format>
    <format dxfId="207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"/>
          </reference>
          <reference field="11" count="10">
            <x v="3"/>
            <x v="13"/>
            <x v="14"/>
            <x v="26"/>
            <x v="34"/>
            <x v="68"/>
            <x v="75"/>
            <x v="102"/>
            <x v="112"/>
            <x v="135"/>
          </reference>
        </references>
      </pivotArea>
    </format>
    <format dxfId="206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3"/>
          </reference>
          <reference field="11" count="5">
            <x v="6"/>
            <x v="33"/>
            <x v="64"/>
            <x v="76"/>
            <x v="101"/>
          </reference>
        </references>
      </pivotArea>
    </format>
    <format dxfId="205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4"/>
          </reference>
          <reference field="11" count="6">
            <x v="21"/>
            <x v="27"/>
            <x v="49"/>
            <x v="53"/>
            <x v="77"/>
            <x v="99"/>
          </reference>
        </references>
      </pivotArea>
    </format>
    <format dxfId="204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5"/>
          </reference>
          <reference field="11" count="4">
            <x v="12"/>
            <x v="18"/>
            <x v="31"/>
            <x v="78"/>
          </reference>
        </references>
      </pivotArea>
    </format>
    <format dxfId="203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9"/>
          </reference>
          <reference field="11" count="6">
            <x v="15"/>
            <x v="19"/>
            <x v="20"/>
            <x v="63"/>
            <x v="82"/>
            <x v="136"/>
          </reference>
        </references>
      </pivotArea>
    </format>
    <format dxfId="202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0"/>
          </reference>
          <reference field="11" count="14">
            <x v="4"/>
            <x v="5"/>
            <x v="24"/>
            <x v="28"/>
            <x v="29"/>
            <x v="39"/>
            <x v="48"/>
            <x v="55"/>
            <x v="66"/>
            <x v="83"/>
            <x v="111"/>
            <x v="122"/>
            <x v="123"/>
            <x v="132"/>
          </reference>
        </references>
      </pivotArea>
    </format>
    <format dxfId="201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3"/>
          </reference>
          <reference field="11" count="8">
            <x v="2"/>
            <x v="41"/>
            <x v="50"/>
            <x v="61"/>
            <x v="85"/>
            <x v="116"/>
            <x v="125"/>
            <x v="134"/>
          </reference>
        </references>
      </pivotArea>
    </format>
    <format dxfId="200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19"/>
          </reference>
          <reference field="11" count="6">
            <x v="30"/>
            <x v="67"/>
            <x v="71"/>
            <x v="87"/>
            <x v="98"/>
            <x v="130"/>
          </reference>
        </references>
      </pivotArea>
    </format>
    <format dxfId="199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1" count="4">
            <x v="7"/>
            <x v="80"/>
            <x v="97"/>
            <x v="126"/>
          </reference>
        </references>
      </pivotArea>
    </format>
    <format dxfId="198">
      <pivotArea dataOnly="0" labelOnly="1" fieldPosition="0">
        <references count="4">
          <reference field="8" count="1" selected="0">
            <x v="1"/>
          </reference>
          <reference field="9" count="1" selected="0">
            <x v="1"/>
          </reference>
          <reference field="10" count="1" selected="0">
            <x v="22"/>
          </reference>
          <reference field="11" count="12">
            <x v="23"/>
            <x v="40"/>
            <x v="56"/>
            <x v="60"/>
            <x v="62"/>
            <x v="65"/>
            <x v="69"/>
            <x v="70"/>
            <x v="89"/>
            <x v="95"/>
            <x v="119"/>
            <x v="127"/>
          </reference>
        </references>
      </pivotArea>
    </format>
    <format dxfId="197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5"/>
          </reference>
          <reference field="11" count="6">
            <x v="0"/>
            <x v="16"/>
            <x v="43"/>
            <x v="51"/>
            <x v="94"/>
            <x v="117"/>
          </reference>
        </references>
      </pivotArea>
    </format>
    <format dxfId="196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1" count="6">
            <x v="10"/>
            <x v="72"/>
            <x v="96"/>
            <x v="109"/>
            <x v="115"/>
            <x v="137"/>
          </reference>
        </references>
      </pivotArea>
    </format>
    <format dxfId="195">
      <pivotArea dataOnly="0" labelOnly="1" fieldPosition="0">
        <references count="4">
          <reference field="8" count="1" selected="0">
            <x v="1"/>
          </reference>
          <reference field="9" count="1" selected="0">
            <x v="0"/>
          </reference>
          <reference field="10" count="1" selected="0">
            <x v="17"/>
          </reference>
          <reference field="11" count="6">
            <x v="1"/>
            <x v="17"/>
            <x v="44"/>
            <x v="52"/>
            <x v="93"/>
            <x v="118"/>
          </reference>
        </references>
      </pivotArea>
    </format>
    <format dxfId="194">
      <pivotArea outline="0" collapsedLevelsAreSubtotals="1" fieldPosition="0"/>
    </format>
    <format dxfId="193">
      <pivotArea type="topRight" dataOnly="0" labelOnly="1" outline="0" fieldPosition="0"/>
    </format>
    <format dxfId="192">
      <pivotArea dataOnly="0" labelOnly="1" fieldPosition="0">
        <references count="1">
          <reference field="18" count="0"/>
        </references>
      </pivotArea>
    </format>
    <format dxfId="191">
      <pivotArea dataOnly="0" labelOnly="1" fieldPosition="0">
        <references count="1">
          <reference field="18" count="0" defaultSubtotal="1"/>
        </references>
      </pivotArea>
    </format>
    <format dxfId="190">
      <pivotArea dataOnly="0" labelOnly="1" grandCol="1" outline="0" fieldPosition="0"/>
    </format>
    <format dxfId="189">
      <pivotArea dataOnly="0" labelOnly="1" fieldPosition="0">
        <references count="2">
          <reference field="1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8" count="1" selected="0">
            <x v="0"/>
          </reference>
        </references>
      </pivotArea>
    </format>
    <format dxfId="188">
      <pivotArea dataOnly="0" labelOnly="1" fieldPosition="0">
        <references count="2">
          <reference field="17" count="0"/>
          <reference field="18" count="1" selected="0">
            <x v="1"/>
          </reference>
        </references>
      </pivotArea>
    </format>
    <format dxfId="187">
      <pivotArea dataOnly="0" labelOnly="1" fieldPosition="0">
        <references count="2">
          <reference field="17" count="1">
            <x v="0"/>
          </reference>
          <reference field="18" count="1" selected="0">
            <x v="2"/>
          </reference>
        </references>
      </pivotArea>
    </format>
  </formats>
  <pivotTableStyleInfo name="Planilha Pessoal V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487045-326A-484C-9F90-934BBF029B04}" name="Fluxo de Caixa Resumido" cacheId="134" applyNumberFormats="0" applyBorderFormats="0" applyFontFormats="0" applyPatternFormats="0" applyAlignmentFormats="0" applyWidthHeightFormats="1" dataCaption="Valores" updatedVersion="8" minRefreshableVersion="3" showDrill="0" itemPrintTitles="1" createdVersion="8" indent="0" showHeaders="0" outline="1" outlineData="1" multipleFieldFilters="0">
  <location ref="B5:AE10" firstHeaderRow="1" firstDataRow="3" firstDataCol="1" rowPageCount="1" colPageCount="1"/>
  <pivotFields count="22">
    <pivotField showAll="0"/>
    <pivotField numFmtId="165" showAll="0"/>
    <pivotField showAll="0"/>
    <pivotField numFmtId="4" showAll="0"/>
    <pivotField showAll="0"/>
    <pivotField showAll="0"/>
    <pivotField showAll="0"/>
    <pivotField showAll="0"/>
    <pivotField axis="axisPage" multipleItemSelectionAllowed="1" showAll="0">
      <items count="6">
        <item h="1" m="1" x="4"/>
        <item x="1"/>
        <item x="0"/>
        <item h="1" x="2"/>
        <item h="1" m="1" x="3"/>
        <item t="default"/>
      </items>
    </pivotField>
    <pivotField axis="axisRow" showAll="0">
      <items count="5">
        <item x="1"/>
        <item x="0"/>
        <item x="2"/>
        <item m="1" x="3"/>
        <item t="default"/>
      </items>
    </pivotField>
    <pivotField showAll="0"/>
    <pivotField showAll="0"/>
    <pivotField showAll="0"/>
    <pivotField numFmtId="2" showAll="0"/>
    <pivotField showAll="0"/>
    <pivotField showAll="0"/>
    <pivotField showAll="0"/>
    <pivotField axis="axisCol" showAll="0">
      <items count="21">
        <item x="9"/>
        <item m="1" x="18"/>
        <item x="11"/>
        <item m="1" x="12"/>
        <item m="1" x="13"/>
        <item x="2"/>
        <item x="3"/>
        <item m="1" x="14"/>
        <item m="1" x="15"/>
        <item m="1" x="16"/>
        <item x="7"/>
        <item m="1" x="17"/>
        <item m="1" x="19"/>
        <item x="0"/>
        <item x="1"/>
        <item x="4"/>
        <item x="5"/>
        <item x="6"/>
        <item x="8"/>
        <item x="10"/>
        <item t="default"/>
      </items>
    </pivotField>
    <pivotField axis="axisCol" showAll="0">
      <items count="7">
        <item m="1" x="4"/>
        <item m="1" x="5"/>
        <item x="0"/>
        <item x="3"/>
        <item x="1"/>
        <item x="2"/>
        <item t="default"/>
      </items>
    </pivotField>
    <pivotField showAll="0"/>
    <pivotField showAll="0"/>
    <pivotField dataField="1" showAll="0"/>
  </pivotFields>
  <rowFields count="1">
    <field x="9"/>
  </rowFields>
  <rowItems count="3">
    <i>
      <x/>
    </i>
    <i>
      <x v="1"/>
    </i>
    <i t="grand">
      <x/>
    </i>
  </rowItems>
  <colFields count="2">
    <field x="18"/>
    <field x="17"/>
  </colFields>
  <colItems count="29">
    <i>
      <x v="2"/>
      <x v="5"/>
    </i>
    <i r="1">
      <x v="6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t="default">
      <x v="2"/>
    </i>
    <i>
      <x v="4"/>
      <x/>
    </i>
    <i r="1">
      <x v="2"/>
    </i>
    <i r="1">
      <x v="5"/>
    </i>
    <i r="1">
      <x v="6"/>
    </i>
    <i r="1">
      <x v="10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default">
      <x v="4"/>
    </i>
    <i>
      <x v="5"/>
      <x/>
    </i>
    <i r="1">
      <x v="2"/>
    </i>
    <i r="1">
      <x v="13"/>
    </i>
    <i r="1">
      <x v="19"/>
    </i>
    <i t="default">
      <x v="5"/>
    </i>
    <i t="grand">
      <x/>
    </i>
  </colItems>
  <pageFields count="1">
    <pageField fld="8" hier="-1"/>
  </pageFields>
  <dataFields count="1">
    <dataField name="Soma de SALDO" fld="21" baseField="0" baseItem="0" numFmtId="3"/>
  </dataFields>
  <formats count="18">
    <format dxfId="414">
      <pivotArea outline="0" collapsedLevelsAreSubtotals="1" fieldPosition="0"/>
    </format>
    <format dxfId="413">
      <pivotArea dataOnly="0" labelOnly="1" fieldPosition="0">
        <references count="2">
          <reference field="17" count="0"/>
          <reference field="18" count="1" selected="0">
            <x v="0"/>
          </reference>
        </references>
      </pivotArea>
    </format>
    <format dxfId="412">
      <pivotArea outline="0" collapsedLevelsAreSubtotals="1" fieldPosition="0"/>
    </format>
    <format dxfId="411">
      <pivotArea dataOnly="0" labelOnly="1" fieldPosition="0">
        <references count="1">
          <reference field="18" count="0"/>
        </references>
      </pivotArea>
    </format>
    <format dxfId="410">
      <pivotArea dataOnly="0" labelOnly="1" fieldPosition="0">
        <references count="1">
          <reference field="18" count="0" defaultSubtotal="1"/>
        </references>
      </pivotArea>
    </format>
    <format dxfId="409">
      <pivotArea dataOnly="0" labelOnly="1" grandCol="1" outline="0" fieldPosition="0"/>
    </format>
    <format dxfId="408">
      <pivotArea dataOnly="0" labelOnly="1" fieldPosition="0">
        <references count="2">
          <reference field="17" count="0"/>
          <reference field="18" count="1" selected="0">
            <x v="0"/>
          </reference>
        </references>
      </pivotArea>
    </format>
    <format dxfId="407">
      <pivotArea dataOnly="0" labelOnly="1" fieldPosition="0">
        <references count="2">
          <reference field="17" count="4">
            <x v="0"/>
            <x v="1"/>
            <x v="2"/>
            <x v="3"/>
          </reference>
          <reference field="18" count="1" selected="0">
            <x v="1"/>
          </reference>
        </references>
      </pivotArea>
    </format>
    <format dxfId="406">
      <pivotArea outline="0" collapsedLevelsAreSubtotals="1" fieldPosition="0"/>
    </format>
    <format dxfId="405">
      <pivotArea outline="0" collapsedLevelsAreSubtotals="1" fieldPosition="0"/>
    </format>
    <format dxfId="404">
      <pivotArea dataOnly="0" labelOnly="1" outline="0" fieldPosition="0">
        <references count="1">
          <reference field="8" count="0"/>
        </references>
      </pivotArea>
    </format>
    <format dxfId="403">
      <pivotArea type="topRight" dataOnly="0" labelOnly="1" outline="0" fieldPosition="0"/>
    </format>
    <format dxfId="402">
      <pivotArea dataOnly="0" labelOnly="1" fieldPosition="0">
        <references count="1">
          <reference field="18" count="0"/>
        </references>
      </pivotArea>
    </format>
    <format dxfId="401">
      <pivotArea dataOnly="0" labelOnly="1" fieldPosition="0">
        <references count="1">
          <reference field="18" count="0" defaultSubtotal="1"/>
        </references>
      </pivotArea>
    </format>
    <format dxfId="400">
      <pivotArea dataOnly="0" labelOnly="1" grandCol="1" outline="0" fieldPosition="0"/>
    </format>
    <format dxfId="399">
      <pivotArea dataOnly="0" labelOnly="1" fieldPosition="0">
        <references count="2">
          <reference field="17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  <reference field="18" count="1" selected="0">
            <x v="0"/>
          </reference>
        </references>
      </pivotArea>
    </format>
    <format dxfId="398">
      <pivotArea dataOnly="0" labelOnly="1" fieldPosition="0">
        <references count="2">
          <reference field="17" count="0"/>
          <reference field="18" count="1" selected="0">
            <x v="1"/>
          </reference>
        </references>
      </pivotArea>
    </format>
    <format dxfId="397">
      <pivotArea dataOnly="0" labelOnly="1" fieldPosition="0">
        <references count="2">
          <reference field="17" count="1">
            <x v="0"/>
          </reference>
          <reference field="18" count="1" selected="0">
            <x v="2"/>
          </reference>
        </references>
      </pivotArea>
    </format>
  </formats>
  <pivotTableStyleInfo name="Planilha Pessoal V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C6F2A-0BE0-41E9-9633-7BAA7C70118A}" name="Saldo das Contas" cacheId="12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>
  <location ref="AB3:AC3" firstHeaderRow="1" firstDataRow="1" firstDataCol="1" rowPageCount="1" colPageCount="1"/>
  <pivotFields count="5">
    <pivotField axis="axisRow" showAll="0" measureFilter="1" sortType="descending">
      <items count="16">
        <item m="1" x="14"/>
        <item m="1" x="6"/>
        <item m="1" x="11"/>
        <item m="1" x="12"/>
        <item m="1" x="1"/>
        <item m="1" x="7"/>
        <item m="1" x="8"/>
        <item m="1" x="9"/>
        <item m="1" x="13"/>
        <item m="1" x="5"/>
        <item m="1" x="2"/>
        <item m="1" x="4"/>
        <item m="1" x="3"/>
        <item m="1" x="1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4">
        <item h="1" m="1" x="2"/>
        <item m="1" x="1"/>
        <item h="1" x="0"/>
        <item t="default"/>
      </items>
    </pivotField>
    <pivotField showAll="0"/>
    <pivotField dataField="1" showAll="0"/>
    <pivotField showAll="0"/>
  </pivotFields>
  <rowFields count="1">
    <field x="0"/>
  </rowFields>
  <colItems count="1">
    <i/>
  </colItems>
  <pageFields count="1">
    <pageField fld="1" hier="-1"/>
  </pageFields>
  <dataFields count="1">
    <dataField name="Soma de SALDO ATUAL" fld="3" baseField="0" baseItem="4" numFmtId="4"/>
  </dataFields>
  <pivotTableStyleInfo showRowHeaders="1" showColHeaders="1" showRowStripes="0" showColStripes="0" showLastColumn="1"/>
  <filters count="1">
    <filter fld="0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38E5C9-821A-470D-9CD4-46F16F6F0F02}" name="Tipo Cartão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V3:W4" firstHeaderRow="1" firstDataRow="1" firstDataCol="1" rowPageCount="1" colPageCount="1"/>
  <pivotFields count="22">
    <pivotField showAll="0"/>
    <pivotField numFmtId="165" showAll="0"/>
    <pivotField showAll="0"/>
    <pivotField dataField="1" numFmtId="4" showAll="0"/>
    <pivotField showAll="0"/>
    <pivotField showAll="0">
      <items count="18">
        <item m="1" x="13"/>
        <item x="5"/>
        <item x="4"/>
        <item m="1" x="16"/>
        <item x="1"/>
        <item m="1" x="12"/>
        <item x="11"/>
        <item m="1" x="14"/>
        <item m="1" x="15"/>
        <item x="10"/>
        <item x="9"/>
        <item x="0"/>
        <item x="8"/>
        <item x="6"/>
        <item x="3"/>
        <item x="2"/>
        <item x="7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5">
        <item h="1" x="0"/>
        <item m="1" x="3"/>
        <item h="1" m="1" x="2"/>
        <item h="1" m="1" x="1"/>
        <item t="default"/>
      </items>
    </pivotField>
    <pivotField axis="axisRow" showAll="0">
      <items count="12">
        <item x="0"/>
        <item m="1" x="8"/>
        <item m="1" x="9"/>
        <item m="1" x="2"/>
        <item m="1" x="7"/>
        <item m="1" x="10"/>
        <item m="1" x="3"/>
        <item m="1" x="4"/>
        <item m="1" x="5"/>
        <item m="1" x="6"/>
        <item m="1" x="1"/>
        <item t="default"/>
      </items>
    </pivotField>
    <pivotField showAll="0">
      <items count="21">
        <item h="1" x="9"/>
        <item h="1" x="10"/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m="1" x="12"/>
        <item h="1" m="1" x="14"/>
        <item h="1" m="1" x="17"/>
        <item h="1" m="1" x="18"/>
        <item h="1" m="1" x="13"/>
        <item h="1" m="1" x="16"/>
        <item h="1" m="1" x="15"/>
        <item h="1" m="1" x="19"/>
        <item t="default"/>
      </items>
    </pivotField>
    <pivotField showAll="0">
      <items count="7">
        <item h="1" x="3"/>
        <item h="1" m="1" x="4"/>
        <item h="1" m="1" x="5"/>
        <item x="0"/>
        <item h="1" x="1"/>
        <item h="1" x="2"/>
        <item t="default"/>
      </items>
    </pivotField>
    <pivotField showAll="0"/>
    <pivotField showAll="0"/>
    <pivotField showAll="0"/>
  </pivotFields>
  <rowFields count="1">
    <field x="16"/>
  </rowFields>
  <rowItems count="1">
    <i t="grand">
      <x/>
    </i>
  </rowItems>
  <colItems count="1">
    <i/>
  </colItems>
  <pageFields count="1">
    <pageField fld="15" hier="-1"/>
  </pageFields>
  <dataFields count="1">
    <dataField name="Soma de Valor" fld="3" baseField="0" baseItem="0" numFmtId="4"/>
  </dataFields>
  <chartFormats count="6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  <chartFormat chart="2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6" count="1" selected="0">
            <x v="7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6" count="1" selected="0">
            <x v="8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59B1E-B8D7-43E2-AF5C-F1727583E425}" name="Evolução Receitas e Despesas" cacheId="13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30">
  <location ref="K3:M14" firstHeaderRow="1" firstDataRow="2" firstDataCol="1" rowPageCount="1" colPageCount="1"/>
  <pivotFields count="22">
    <pivotField showAll="0"/>
    <pivotField numFmtId="165" showAll="0"/>
    <pivotField showAll="0"/>
    <pivotField dataField="1" numFmtId="4" showAll="0"/>
    <pivotField showAll="0"/>
    <pivotField showAll="0">
      <items count="18">
        <item m="1" x="13"/>
        <item x="5"/>
        <item x="4"/>
        <item m="1" x="16"/>
        <item x="1"/>
        <item m="1" x="12"/>
        <item x="11"/>
        <item m="1" x="14"/>
        <item m="1" x="15"/>
        <item x="10"/>
        <item x="9"/>
        <item x="0"/>
        <item x="8"/>
        <item x="6"/>
        <item x="3"/>
        <item x="2"/>
        <item x="7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Page" showAll="0">
      <items count="6">
        <item h="1" m="1" x="4"/>
        <item x="1"/>
        <item x="0"/>
        <item h="1" x="2"/>
        <item h="1" m="1" x="3"/>
        <item t="default"/>
      </items>
    </pivotField>
    <pivotField axis="axisCol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numFmtId="2" showAll="0"/>
    <pivotField showAll="0"/>
    <pivotField showAll="0"/>
    <pivotField showAll="0"/>
    <pivotField axis="axisRow" showAll="0" sortType="ascending">
      <items count="21">
        <item x="9"/>
        <item x="10"/>
        <item x="11"/>
        <item x="0"/>
        <item x="1"/>
        <item x="2"/>
        <item x="3"/>
        <item x="4"/>
        <item x="5"/>
        <item x="6"/>
        <item x="7"/>
        <item x="8"/>
        <item m="1" x="12"/>
        <item m="1" x="14"/>
        <item m="1" x="17"/>
        <item m="1" x="18"/>
        <item m="1" x="13"/>
        <item m="1" x="16"/>
        <item m="1" x="15"/>
        <item m="1" x="19"/>
        <item t="default"/>
      </items>
    </pivotField>
    <pivotField axis="axisRow" showAll="0">
      <items count="7">
        <item h="1" m="1" x="4"/>
        <item h="1" m="1" x="5"/>
        <item x="0"/>
        <item h="1" x="3"/>
        <item h="1" x="1"/>
        <item h="1" x="2"/>
        <item t="default"/>
      </items>
    </pivotField>
    <pivotField showAll="0"/>
    <pivotField showAll="0"/>
    <pivotField showAll="0"/>
  </pivotFields>
  <rowFields count="2">
    <field x="18"/>
    <field x="17"/>
  </rowFields>
  <rowItems count="10">
    <i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Fields count="1">
    <field x="9"/>
  </colFields>
  <colItems count="2">
    <i>
      <x/>
    </i>
    <i>
      <x v="1"/>
    </i>
  </colItems>
  <pageFields count="1">
    <pageField fld="8" hier="-1"/>
  </pageFields>
  <dataFields count="1">
    <dataField name="R$" fld="3" baseField="0" baseItem="0" numFmtId="4"/>
  </dataFields>
  <chartFormats count="3"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74F3C-B5BA-41FB-9543-9915A24C26C3}" name="Despesas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3">
  <location ref="F4:H12" firstHeaderRow="0" firstDataRow="1" firstDataCol="1" rowPageCount="2" colPageCount="1"/>
  <pivotFields count="22">
    <pivotField showAll="0"/>
    <pivotField numFmtId="165" showAll="0"/>
    <pivotField showAll="0"/>
    <pivotField dataField="1" numFmtId="4" showAll="0"/>
    <pivotField showAll="0"/>
    <pivotField showAll="0">
      <items count="18">
        <item m="1" x="13"/>
        <item x="5"/>
        <item x="4"/>
        <item m="1" x="16"/>
        <item x="1"/>
        <item m="1" x="12"/>
        <item x="11"/>
        <item m="1" x="14"/>
        <item m="1" x="15"/>
        <item x="10"/>
        <item x="9"/>
        <item x="0"/>
        <item x="8"/>
        <item x="6"/>
        <item x="3"/>
        <item x="2"/>
        <item x="7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Page" multipleItemSelectionAllowed="1" showAll="0">
      <items count="6">
        <item h="1" m="1" x="4"/>
        <item x="1"/>
        <item x="0"/>
        <item h="1" x="2"/>
        <item h="1" m="1" x="3"/>
        <item t="default"/>
      </items>
    </pivotField>
    <pivotField axis="axisPage" multipleItemSelectionAllowed="1" showAll="0">
      <items count="5">
        <item x="0"/>
        <item h="1" x="1"/>
        <item h="1" x="2"/>
        <item h="1" m="1" x="3"/>
        <item t="default"/>
      </items>
    </pivotField>
    <pivotField axis="axisRow" showAll="0" measureFilter="1" sortType="ascending">
      <items count="29">
        <item x="5"/>
        <item x="2"/>
        <item x="3"/>
        <item x="1"/>
        <item m="1" x="17"/>
        <item x="4"/>
        <item x="9"/>
        <item x="8"/>
        <item x="0"/>
        <item m="1" x="19"/>
        <item x="10"/>
        <item x="11"/>
        <item m="1" x="24"/>
        <item x="13"/>
        <item m="1" x="27"/>
        <item m="1" x="21"/>
        <item m="1" x="25"/>
        <item m="1" x="16"/>
        <item x="7"/>
        <item x="6"/>
        <item x="14"/>
        <item m="1" x="26"/>
        <item m="1" x="18"/>
        <item x="12"/>
        <item m="1" x="22"/>
        <item m="1" x="23"/>
        <item m="1" x="20"/>
        <item m="1" x="1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2" showAll="0"/>
    <pivotField dataField="1" showAll="0"/>
    <pivotField showAll="0"/>
    <pivotField showAll="0"/>
    <pivotField showAll="0">
      <items count="21">
        <item h="1" x="9"/>
        <item h="1" x="10"/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m="1" x="12"/>
        <item h="1" m="1" x="14"/>
        <item h="1" m="1" x="17"/>
        <item h="1" m="1" x="18"/>
        <item h="1" m="1" x="13"/>
        <item h="1" m="1" x="16"/>
        <item h="1" m="1" x="15"/>
        <item h="1" m="1" x="19"/>
        <item t="default"/>
      </items>
    </pivotField>
    <pivotField showAll="0">
      <items count="7">
        <item h="1" x="3"/>
        <item h="1" m="1" x="4"/>
        <item h="1" m="1" x="5"/>
        <item x="0"/>
        <item h="1" x="1"/>
        <item h="1" x="2"/>
        <item t="default"/>
      </items>
    </pivotField>
    <pivotField showAll="0"/>
    <pivotField showAll="0"/>
    <pivotField showAll="0"/>
  </pivotFields>
  <rowFields count="1">
    <field x="10"/>
  </rowFields>
  <rowItems count="8">
    <i>
      <x v="6"/>
    </i>
    <i>
      <x v="1"/>
    </i>
    <i>
      <x v="2"/>
    </i>
    <i>
      <x v="3"/>
    </i>
    <i>
      <x v="8"/>
    </i>
    <i>
      <x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2">
    <pageField fld="8" hier="-1"/>
    <pageField fld="9" hier="-1"/>
  </pageFields>
  <dataFields count="2">
    <dataField name="Soma de Valor" fld="3" baseField="0" baseItem="0" numFmtId="4"/>
    <dataField name="Soma de DifMeta" fld="14" baseField="0" baseItem="0"/>
  </dataFields>
  <chartFormats count="2">
    <chartFormat chart="2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filters count="1">
    <filter fld="10" type="count" evalOrder="-1" id="15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C96582-4437-45F9-BD4D-AAC6D0549675}" name="Receitas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B4:C7" firstHeaderRow="1" firstDataRow="1" firstDataCol="1" rowPageCount="2" colPageCount="1"/>
  <pivotFields count="22">
    <pivotField showAll="0"/>
    <pivotField numFmtId="165" showAll="0"/>
    <pivotField showAll="0"/>
    <pivotField dataField="1" numFmtId="4" showAll="0"/>
    <pivotField showAll="0"/>
    <pivotField showAll="0">
      <items count="18">
        <item m="1" x="13"/>
        <item x="5"/>
        <item x="4"/>
        <item m="1" x="16"/>
        <item x="1"/>
        <item m="1" x="12"/>
        <item x="11"/>
        <item m="1" x="14"/>
        <item m="1" x="15"/>
        <item x="10"/>
        <item x="9"/>
        <item x="0"/>
        <item x="8"/>
        <item x="6"/>
        <item x="3"/>
        <item x="2"/>
        <item x="7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Page" multipleItemSelectionAllowed="1" showAll="0">
      <items count="6">
        <item h="1" m="1" x="4"/>
        <item x="1"/>
        <item x="0"/>
        <item h="1" x="2"/>
        <item h="1" m="1" x="3"/>
        <item t="default"/>
      </items>
    </pivotField>
    <pivotField axis="axisPage" multipleItemSelectionAllowed="1" showAll="0">
      <items count="5">
        <item h="1" x="0"/>
        <item x="1"/>
        <item h="1" x="2"/>
        <item h="1" m="1" x="3"/>
        <item t="default"/>
      </items>
    </pivotField>
    <pivotField axis="axisRow" showAll="0">
      <items count="29">
        <item x="8"/>
        <item x="2"/>
        <item x="10"/>
        <item x="11"/>
        <item m="1" x="17"/>
        <item m="1" x="24"/>
        <item x="4"/>
        <item m="1" x="19"/>
        <item x="13"/>
        <item x="5"/>
        <item x="0"/>
        <item m="1" x="27"/>
        <item m="1" x="21"/>
        <item x="3"/>
        <item m="1" x="25"/>
        <item m="1" x="16"/>
        <item x="7"/>
        <item x="6"/>
        <item x="14"/>
        <item x="9"/>
        <item m="1" x="26"/>
        <item m="1" x="18"/>
        <item x="1"/>
        <item x="12"/>
        <item m="1" x="22"/>
        <item m="1" x="23"/>
        <item m="1" x="20"/>
        <item m="1" x="15"/>
        <item t="default"/>
      </items>
    </pivotField>
    <pivotField showAll="0"/>
    <pivotField showAll="0"/>
    <pivotField numFmtId="2" showAll="0"/>
    <pivotField showAll="0"/>
    <pivotField showAll="0"/>
    <pivotField showAll="0"/>
    <pivotField showAll="0">
      <items count="21">
        <item h="1" x="9"/>
        <item h="1" x="10"/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m="1" x="12"/>
        <item h="1" m="1" x="14"/>
        <item h="1" m="1" x="17"/>
        <item h="1" m="1" x="18"/>
        <item h="1" m="1" x="13"/>
        <item h="1" m="1" x="16"/>
        <item h="1" m="1" x="15"/>
        <item h="1" m="1" x="19"/>
        <item t="default"/>
      </items>
    </pivotField>
    <pivotField showAll="0">
      <items count="7">
        <item h="1" x="3"/>
        <item h="1" m="1" x="4"/>
        <item h="1" m="1" x="5"/>
        <item x="0"/>
        <item h="1" x="1"/>
        <item h="1" x="2"/>
        <item t="default"/>
      </items>
    </pivotField>
    <pivotField showAll="0"/>
    <pivotField showAll="0"/>
    <pivotField showAll="0"/>
  </pivotFields>
  <rowFields count="1">
    <field x="10"/>
  </rowFields>
  <rowItems count="3">
    <i>
      <x v="17"/>
    </i>
    <i>
      <x v="18"/>
    </i>
    <i t="grand">
      <x/>
    </i>
  </rowItems>
  <colItems count="1">
    <i/>
  </colItems>
  <pageFields count="2">
    <pageField fld="8" hier="-1"/>
    <pageField fld="9" hier="-1"/>
  </pageFields>
  <dataFields count="1">
    <dataField name="Soma de Valor" fld="3" baseField="0" baseItem="0" numFmtId="4"/>
  </dataFields>
  <chartFormats count="7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5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16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7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8"/>
          </reference>
        </references>
      </pivotArea>
    </chartFormat>
    <chartFormat chart="2" format="1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9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649576-F27A-4EF7-B5DC-9E75DF7E9A66}" name="Gastos Cartão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Y3:Z4" firstHeaderRow="1" firstDataRow="1" firstDataCol="1" rowPageCount="1" colPageCount="1"/>
  <pivotFields count="22">
    <pivotField showAll="0"/>
    <pivotField numFmtId="165" showAll="0"/>
    <pivotField showAll="0"/>
    <pivotField dataField="1" numFmtId="4" showAll="0"/>
    <pivotField showAll="0"/>
    <pivotField showAll="0">
      <items count="18">
        <item m="1" x="13"/>
        <item x="5"/>
        <item x="4"/>
        <item m="1" x="16"/>
        <item x="1"/>
        <item m="1" x="12"/>
        <item x="11"/>
        <item m="1" x="14"/>
        <item m="1" x="15"/>
        <item x="10"/>
        <item x="9"/>
        <item x="0"/>
        <item x="8"/>
        <item x="6"/>
        <item x="3"/>
        <item x="2"/>
        <item x="7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/>
    <pivotField axis="axisRow" showAll="0">
      <items count="29">
        <item x="8"/>
        <item x="2"/>
        <item x="10"/>
        <item x="11"/>
        <item m="1" x="17"/>
        <item m="1" x="24"/>
        <item x="4"/>
        <item m="1" x="19"/>
        <item x="13"/>
        <item x="5"/>
        <item x="0"/>
        <item m="1" x="27"/>
        <item m="1" x="21"/>
        <item x="3"/>
        <item m="1" x="25"/>
        <item m="1" x="16"/>
        <item x="7"/>
        <item x="6"/>
        <item x="14"/>
        <item x="9"/>
        <item m="1" x="26"/>
        <item m="1" x="18"/>
        <item x="1"/>
        <item x="12"/>
        <item m="1" x="22"/>
        <item m="1" x="23"/>
        <item m="1" x="20"/>
        <item m="1" x="15"/>
        <item t="default"/>
      </items>
    </pivotField>
    <pivotField showAll="0"/>
    <pivotField showAll="0"/>
    <pivotField numFmtId="2" showAll="0"/>
    <pivotField showAll="0"/>
    <pivotField axis="axisPage" showAll="0">
      <items count="5">
        <item h="1" x="0"/>
        <item m="1" x="3"/>
        <item h="1" m="1" x="2"/>
        <item h="1" m="1" x="1"/>
        <item t="default"/>
      </items>
    </pivotField>
    <pivotField showAll="0">
      <items count="12">
        <item x="0"/>
        <item m="1" x="10"/>
        <item m="1" x="3"/>
        <item m="1" x="8"/>
        <item m="1" x="4"/>
        <item m="1" x="9"/>
        <item m="1" x="2"/>
        <item m="1" x="5"/>
        <item m="1" x="7"/>
        <item m="1" x="6"/>
        <item m="1" x="1"/>
        <item t="default"/>
      </items>
    </pivotField>
    <pivotField showAll="0">
      <items count="21">
        <item h="1" x="9"/>
        <item h="1" x="10"/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m="1" x="12"/>
        <item h="1" m="1" x="14"/>
        <item h="1" m="1" x="17"/>
        <item h="1" m="1" x="18"/>
        <item h="1" m="1" x="13"/>
        <item h="1" m="1" x="16"/>
        <item h="1" m="1" x="15"/>
        <item h="1" m="1" x="19"/>
        <item t="default"/>
      </items>
    </pivotField>
    <pivotField showAll="0">
      <items count="7">
        <item h="1" x="3"/>
        <item h="1" m="1" x="4"/>
        <item h="1" m="1" x="5"/>
        <item x="0"/>
        <item h="1" x="1"/>
        <item h="1" x="2"/>
        <item t="default"/>
      </items>
    </pivotField>
    <pivotField showAll="0"/>
    <pivotField showAll="0"/>
    <pivotField showAll="0"/>
  </pivotFields>
  <rowFields count="1">
    <field x="10"/>
  </rowFields>
  <rowItems count="1">
    <i t="grand">
      <x/>
    </i>
  </rowItems>
  <colItems count="1">
    <i/>
  </colItems>
  <pageFields count="1">
    <pageField fld="15" hier="-1"/>
  </pageFields>
  <dataFields count="1">
    <dataField name="Soma de Valor" fld="3" baseField="0" baseItem="0" numFmtId="4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47728D-BCF5-4163-B53D-8E6BD48D73FD}" name="Saldo" cacheId="13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3:R6" firstHeaderRow="1" firstDataRow="1" firstDataCol="1" rowPageCount="1" colPageCount="1"/>
  <pivotFields count="22">
    <pivotField showAll="0"/>
    <pivotField numFmtId="165" showAll="0"/>
    <pivotField showAll="0"/>
    <pivotField numFmtId="4" showAll="0"/>
    <pivotField showAll="0"/>
    <pivotField showAll="0">
      <items count="18">
        <item m="1" x="13"/>
        <item x="5"/>
        <item x="4"/>
        <item m="1" x="16"/>
        <item x="1"/>
        <item m="1" x="12"/>
        <item x="11"/>
        <item m="1" x="14"/>
        <item m="1" x="15"/>
        <item x="10"/>
        <item x="9"/>
        <item x="0"/>
        <item x="8"/>
        <item x="6"/>
        <item x="3"/>
        <item x="2"/>
        <item x="7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axis="axisPage" multipleItemSelectionAllowed="1" showAll="0">
      <items count="6">
        <item h="1" m="1" x="4"/>
        <item x="1"/>
        <item x="0"/>
        <item h="1" x="2"/>
        <item h="1" m="1" x="3"/>
        <item t="default"/>
      </items>
    </pivotField>
    <pivotField showAll="0"/>
    <pivotField showAll="0"/>
    <pivotField showAll="0"/>
    <pivotField showAll="0"/>
    <pivotField numFmtId="2" showAll="0"/>
    <pivotField showAll="0"/>
    <pivotField showAll="0"/>
    <pivotField showAll="0"/>
    <pivotField axis="axisRow" showAll="0">
      <items count="21">
        <item h="1" x="9"/>
        <item h="1" m="1" x="18"/>
        <item h="1" x="11"/>
        <item h="1" m="1" x="12"/>
        <item h="1" m="1" x="13"/>
        <item h="1" x="2"/>
        <item x="3"/>
        <item h="1" m="1" x="14"/>
        <item h="1" m="1" x="15"/>
        <item h="1" m="1" x="16"/>
        <item h="1" x="7"/>
        <item h="1" m="1" x="17"/>
        <item h="1" m="1" x="19"/>
        <item h="1" x="0"/>
        <item h="1" x="1"/>
        <item h="1" x="4"/>
        <item h="1" x="5"/>
        <item h="1" x="6"/>
        <item h="1" x="8"/>
        <item h="1" x="10"/>
        <item t="default"/>
      </items>
    </pivotField>
    <pivotField axis="axisRow" showAll="0">
      <items count="7">
        <item h="1" m="1" x="4"/>
        <item h="1" m="1" x="5"/>
        <item x="0"/>
        <item h="1" x="3"/>
        <item h="1" x="1"/>
        <item h="1" x="2"/>
        <item t="default"/>
      </items>
    </pivotField>
    <pivotField showAll="0"/>
    <pivotField showAll="0"/>
    <pivotField dataField="1" showAll="0"/>
  </pivotFields>
  <rowFields count="2">
    <field x="18"/>
    <field x="17"/>
  </rowFields>
  <rowItems count="3">
    <i>
      <x v="2"/>
    </i>
    <i r="1">
      <x v="6"/>
    </i>
    <i t="grand">
      <x/>
    </i>
  </rowItems>
  <colItems count="1">
    <i/>
  </colItems>
  <pageFields count="1">
    <pageField fld="8" hier="-1"/>
  </pageFields>
  <dataFields count="1">
    <dataField name="Soma de SALDO" fld="21" baseField="17" baseItem="0" numFmtId="4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A93680C8-056D-42D5-8A33-EA487EE1D462}" sourceName="MÊS">
  <pivotTables>
    <pivotTable tabId="8" name="Receitas"/>
    <pivotTable tabId="8" name="Despesas"/>
    <pivotTable tabId="8" name="Saldo"/>
    <pivotTable tabId="8" name="Tipo Cartão"/>
    <pivotTable tabId="8" name="Gastos Cartão"/>
  </pivotTables>
  <data>
    <tabular pivotCacheId="1867390260" showMissing="0" crossFilter="none">
      <items count="20">
        <i x="9"/>
        <i x="10"/>
        <i x="11"/>
        <i x="0"/>
        <i x="1"/>
        <i x="2"/>
        <i x="3" s="1"/>
        <i x="4"/>
        <i x="5"/>
        <i x="6"/>
        <i x="7"/>
        <i x="8"/>
        <i x="12"/>
        <i x="14"/>
        <i x="17"/>
        <i x="18"/>
        <i x="13"/>
        <i x="16"/>
        <i x="15"/>
        <i x="19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734AC441-06B3-4484-A014-899BAD831AD9}" sourceName="ANO">
  <pivotTables>
    <pivotTable tabId="8" name="Receitas"/>
    <pivotTable tabId="8" name="Despesas"/>
    <pivotTable tabId="8" name="Gastos Cartão"/>
    <pivotTable tabId="8" name="Saldo"/>
    <pivotTable tabId="8" name="Tipo Cartão"/>
    <pivotTable tabId="8" name="Evolução Receitas e Despesas"/>
  </pivotTables>
  <data>
    <tabular pivotCacheId="1867390260">
      <items count="6">
        <i x="0" s="1"/>
        <i x="1"/>
        <i x="2"/>
        <i x="3" nd="1"/>
        <i x="4" nd="1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32BEF46A-87DF-4291-AC30-8A4D01BCBE69}" sourceName="Status">
  <pivotTables>
    <pivotTable tabId="8" name="Receitas"/>
    <pivotTable tabId="8" name="Despesas"/>
    <pivotTable tabId="8" name="Evolução Receitas e Despesas"/>
    <pivotTable tabId="8" name="Gastos Cartão"/>
    <pivotTable tabId="8" name="Saldo"/>
    <pivotTable tabId="8" name="Tipo Cartão"/>
  </pivotTables>
  <data>
    <tabular pivotCacheId="1867390260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ST_SIMPLES" xr10:uid="{2BA43C10-D5E5-4370-85A8-8320488CE41D}" sourceName="INST SIMPLES">
  <pivotTables>
    <pivotTable tabId="8" name="Gastos Cartão"/>
  </pivotTables>
  <data>
    <tabular pivotCacheId="1867390260">
      <items count="11">
        <i x="0" s="1" nd="1"/>
        <i x="10" s="1" nd="1"/>
        <i x="3" s="1" nd="1"/>
        <i x="8" s="1" nd="1"/>
        <i x="4" s="1" nd="1"/>
        <i x="9" s="1" nd="1"/>
        <i x="2" s="1" nd="1"/>
        <i x="5" s="1" nd="1"/>
        <i x="7" s="1" nd="1"/>
        <i x="6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1" xr10:uid="{1361E239-3C6C-4862-8833-FDE4C04D6CBE}" sourceName="ANO">
  <pivotTables>
    <pivotTable tabId="2" name="Fluxo de Caixa"/>
    <pivotTable tabId="2" name="CartaoXFatura"/>
    <pivotTable tabId="2" name="Fluxo de Caixa Resumido"/>
  </pivotTables>
  <data>
    <tabular pivotCacheId="1867390260">
      <items count="6">
        <i x="3" s="1"/>
        <i x="0" s="1"/>
        <i x="1" s="1"/>
        <i x="2" s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essoa" xr10:uid="{9C154143-7F21-4425-9CC3-00C93158443F}" sourceName="Pessoa">
  <pivotTables>
    <pivotTable tabId="8" name="Receitas"/>
    <pivotTable tabId="8" name="Despesas"/>
    <pivotTable tabId="8" name="Evolução Receitas e Despesas"/>
    <pivotTable tabId="8" name="Gastos Cartão"/>
    <pivotTable tabId="8" name="Saldo"/>
    <pivotTable tabId="8" name="Tipo Cartão"/>
  </pivotTables>
  <data>
    <tabular pivotCacheId="1867390260">
      <items count="17">
        <i x="5" s="1"/>
        <i x="4" s="1"/>
        <i x="1" s="1"/>
        <i x="11" s="1"/>
        <i x="10" s="1"/>
        <i x="9" s="1"/>
        <i x="0" s="1"/>
        <i x="8" s="1"/>
        <i x="6" s="1"/>
        <i x="3" s="1"/>
        <i x="2" s="1"/>
        <i x="13" s="1" nd="1"/>
        <i x="16" s="1" nd="1"/>
        <i x="12" s="1" nd="1"/>
        <i x="14" s="1" nd="1"/>
        <i x="15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1" xr10:uid="{55B14AF1-7F47-48A6-8E2E-A6655DF97707}" sourceName="Status">
  <extLst>
    <x:ext xmlns:x15="http://schemas.microsoft.com/office/spreadsheetml/2010/11/main" uri="{2F2917AC-EB37-4324-AD4E-5DD8C200BD13}">
      <x15:tableSlicerCache tableId="4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697EA06A-DDA8-49EA-A57F-5820BBA45BB8}" cache="SegmentaçãodeDados_MÊS" caption="MÊS" columnCount="6" showCaption="0" style="Pessoal V6" lockedPosition="1" rowHeight="216000"/>
  <slicer name="ANO 1" xr10:uid="{76F85D15-B6C4-4F99-A61F-1DF25E726CF7}" cache="SegmentaçãodeDados_ANO" caption="ANO" showCaption="0" style="Pessoal V6" lockedPosition="1" rowHeight="216000"/>
  <slicer name="Status 1" xr10:uid="{E2716C5D-132E-4313-B868-A444D8394C8F}" cache="SegmentaçãodeDados_Status" caption="Status" style="Pessoal V6" lockedPosition="1" rowHeight="241300"/>
  <slicer name="INST SIMPLES 1" xr10:uid="{2CF8ABB3-A45E-4E59-92C4-9AA0423EE063}" cache="SegmentaçãodeDados_INST_SIMPLES" caption="INST SIMPLES" showCaption="0" style="Pessoal V6" lockedPosition="1" rowHeight="241300"/>
  <slicer name="Pessoa" xr10:uid="{9B85494E-B47F-4D0C-B9EA-36A3B2040F1E}" cache="SegmentaçãodeDados_Pessoa" caption="Pessoa" style="Pessoal V6" lockedPosition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718AE764-D22B-4241-9C97-BCCC1127CCE2}" cache="SegmentaçãodeDados_ANO1" caption="ANO" columnCount="3" style="Pessoal V6 2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" xr10:uid="{912E9EC7-F517-4C01-A797-5705342E4ED5}" cache="SegmentaçãodeDados_Status1" caption="Status" style="Pessoal V6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4798D1-545E-492C-983B-7F18B01AE7C9}" name="LO" displayName="LO" ref="B7:W205" totalsRowShown="0" headerRowDxfId="438" dataDxfId="437">
  <autoFilter ref="B7:W205" xr:uid="{B04798D1-545E-492C-983B-7F18B01AE7C9}">
    <filterColumn colId="1">
      <filters>
        <dateGroupItem year="2026" month="6" dateTimeGrouping="month"/>
      </filters>
    </filterColumn>
  </autoFilter>
  <sortState xmlns:xlrd2="http://schemas.microsoft.com/office/spreadsheetml/2017/richdata2" ref="B8:W192">
    <sortCondition ref="C7:C192"/>
  </sortState>
  <tableColumns count="22">
    <tableColumn id="1" xr3:uid="{540FFB64-FCA6-42D8-B716-45709DE693D6}" name="DT Compra" dataDxfId="436"/>
    <tableColumn id="2" xr3:uid="{1E8977CF-060D-4B9F-8CC4-96F766231C85}" name="DT Venc" dataDxfId="435"/>
    <tableColumn id="3" xr3:uid="{50575D05-90B2-4564-8465-C9CBF129F663}" name="Descrição" dataDxfId="434"/>
    <tableColumn id="4" xr3:uid="{3045AC3E-B6CC-4219-90DA-C936177EBC42}" name="Valor" dataDxfId="433"/>
    <tableColumn id="5" xr3:uid="{3DDCC9E3-98B4-4884-8E40-C683D4221EEA}" name="INSTITUIÇÃO" dataDxfId="432"/>
    <tableColumn id="6" xr3:uid="{5D83ED88-E376-4533-BD6B-CC77C02E830C}" name="Pessoa" dataDxfId="431"/>
    <tableColumn id="7" xr3:uid="{5C7BE3C8-F4B9-4129-B31E-E66D1415CD93}" name="Status" dataDxfId="430"/>
    <tableColumn id="8" xr3:uid="{24F75DCF-CAFA-4A05-A4D9-9FD5DBC659DE}" name="Obs (OPCIONAL)" dataDxfId="429"/>
    <tableColumn id="9" xr3:uid="{193B3153-41A6-4C35-960D-B018475F7638}" name="Grupo" dataDxfId="428">
      <calculatedColumnFormula>IFERROR(VLOOKUP(LO[[#This Row],[Descrição]],TabCategoria[],2,FALSE),"")</calculatedColumnFormula>
    </tableColumn>
    <tableColumn id="10" xr3:uid="{F5F7FCB2-A248-4B14-81F0-5C6326E2ED0A}" name="Tipo" dataDxfId="427">
      <calculatedColumnFormula>IFERROR(VLOOKUP(LO[[#This Row],[Descrição]],TabCategoria[],3,FALSE),"")</calculatedColumnFormula>
    </tableColumn>
    <tableColumn id="11" xr3:uid="{8931139E-B37C-435B-9DEF-EAD7A4B2E7DD}" name="CATEGORIA" dataDxfId="426">
      <calculatedColumnFormula>IFERROR(VLOOKUP(LO[[#This Row],[Descrição]],TabCategoria[],4,FALSE),"")</calculatedColumnFormula>
    </tableColumn>
    <tableColumn id="12" xr3:uid="{CE96DDD6-9CA9-40A0-89CF-7CD91807E289}" name="SUBCATEGORIA" dataDxfId="425">
      <calculatedColumnFormula>IFERROR(VLOOKUP(LO[[#This Row],[Descrição]],TabCategoria[],5,FALSE),"")</calculatedColumnFormula>
    </tableColumn>
    <tableColumn id="13" xr3:uid="{F4A3B5C7-49D8-43BA-9051-B8D9EA330427}" name="Meta" dataDxfId="424">
      <calculatedColumnFormula>SUMIFS(TabCategoria[Meta Mês],TabCategoria[Categoria],LO[[#This Row],[CATEGORIA]])</calculatedColumnFormula>
    </tableColumn>
    <tableColumn id="14" xr3:uid="{16EA0A32-70AB-4B9A-B108-A791C277FB6A}" name="Totalgasto" dataDxfId="423">
      <calculatedColumnFormula>SUMIFS(LO[Valor],LO[CATEGORIA],LO[[#This Row],[CATEGORIA]],LO[ANO],LO[[#This Row],[ANO]],LO[MÊS],LO[[#This Row],[MÊS]])
/COUNTIFS(LO[CATEGORIA],LO[[#This Row],[CATEGORIA]],LO[ANO],LO[[#This Row],[ANO]],LO[MÊS],LO[[#This Row],[MÊS]])</calculatedColumnFormula>
    </tableColumn>
    <tableColumn id="15" xr3:uid="{77D6444A-9176-4B00-ADDE-A4F6FC026368}" name="DifMeta" dataDxfId="422">
      <calculatedColumnFormula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calculatedColumnFormula>
    </tableColumn>
    <tableColumn id="16" xr3:uid="{6A9EEE0A-B9B4-4879-A00E-6BEE2A9661E0}" name="CONTA/CARTAO" dataDxfId="421">
      <calculatedColumnFormula>IFERROR(INDEX(TabInst[TIPO],MATCH(LO[[#This Row],[INSTITUIÇÃO]],TabInst[DESCRIÇÃO],0)),"")</calculatedColumnFormula>
    </tableColumn>
    <tableColumn id="17" xr3:uid="{298F203B-F90F-4E96-98FF-167D56559EEC}" name="INST SIMPLES" dataDxfId="420">
      <calculatedColumnFormula>IFERROR(INDEX(TabInst[INSTITUIÇÃO],MATCH(LO[[#This Row],[INSTITUIÇÃO]],TabInst[DESCRIÇÃO],0)),"")</calculatedColumnFormula>
    </tableColumn>
    <tableColumn id="18" xr3:uid="{CCB7B201-AC48-4B8E-B516-71FFE81621D9}" name="MÊS" dataDxfId="419">
      <calculatedColumnFormula>PROPER(TEXT(LO[[#This Row],[DT Venc]],"MMM"))</calculatedColumnFormula>
    </tableColumn>
    <tableColumn id="19" xr3:uid="{DB6540C2-C41F-4E81-9906-004CFB241494}" name="ANO" dataDxfId="418">
      <calculatedColumnFormula>YEAR(LO[[#This Row],[DT Venc]])</calculatedColumnFormula>
    </tableColumn>
    <tableColumn id="20" xr3:uid="{AD965DA7-FB60-4FEE-A431-5597F466A3A8}" name="RESULTADO" dataDxfId="417">
      <calculatedColumnFormula>IFERROR(VLOOKUP(LO[[#This Row],[CATEGORIA]],TabCategoria[],2,FALSE),"")</calculatedColumnFormula>
    </tableColumn>
    <tableColumn id="21" xr3:uid="{E26FB3D9-80E0-4EC5-ACEA-5EA7F3E7585F}" name="CARTAOFATURA" dataDxfId="416">
      <calculatedColumnFormula>IF(LO[[#This Row],[CONTA/CARTAO]]="Cartão","Cartão",IF(LO[[#This Row],[CATEGORIA]]="Pagamento de Cartão","Fatura",""))</calculatedColumnFormula>
    </tableColumn>
    <tableColumn id="22" xr3:uid="{0C1E7163-9E0E-4573-A55D-E699D4CD089A}" name="SALDO" dataDxfId="415">
      <calculatedColumnFormula>IF(LO[[#This Row],[Tipo]]="Receita",LO[[#This Row],[Valor]],IF(LO[[#This Row],[Tipo]]="Despesa",-LO[[#This Row],[Valor]],0))</calculatedColumnFormula>
    </tableColumn>
  </tableColumns>
  <tableStyleInfo name="Controle Pessoal V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4885007-68AC-4285-91A6-703EC980E073}" name="TabAAF" displayName="TabAAF" ref="B7:F8" insertRow="1" totalsRowShown="0" headerRowDxfId="178">
  <autoFilter ref="B7:F8" xr:uid="{A4885007-68AC-4285-91A6-703EC980E073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859628A-5613-4F4D-9F56-049C8E98856B}" name="Instituição"/>
    <tableColumn id="2" xr3:uid="{EA39C15B-9364-44CE-851C-AD5A548B63BB}" name="Fixa / Var"/>
    <tableColumn id="3" xr3:uid="{7890BE10-75BC-4E45-9916-CBE508EC1B7B}" name="Prazo Projeto"/>
    <tableColumn id="4" xr3:uid="{4032704A-AFBD-48C5-827C-A08C3DC2CD18}" name="Ativo"/>
    <tableColumn id="5" xr3:uid="{2D9524A4-80A0-49B0-81E8-E33EFFFB8226}" name="Valor" dataDxfId="177"/>
  </tableColumns>
  <tableStyleInfo name="Controle Pessoal V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2107AEB-E45C-40FA-8DA4-EC3E1C7FB26E}" name="TabPAI" displayName="TabPAI" ref="H7:K8" insertRow="1" totalsRowShown="0" headerRowDxfId="176">
  <autoFilter ref="H7:K8" xr:uid="{22107AEB-E45C-40FA-8DA4-EC3E1C7FB26E}">
    <filterColumn colId="0" hiddenButton="1"/>
    <filterColumn colId="1" hiddenButton="1"/>
    <filterColumn colId="2" hiddenButton="1"/>
    <filterColumn colId="3" hiddenButton="1"/>
  </autoFilter>
  <tableColumns count="4">
    <tableColumn id="1" xr3:uid="{38088D6B-0E9E-4D26-A0DA-EFBB52A32BA4}" name="Descrição Bem"/>
    <tableColumn id="2" xr3:uid="{78DF79B8-8758-41E3-92CC-5159FB32D14C}" name="Valor" dataDxfId="175"/>
    <tableColumn id="3" xr3:uid="{5A2A13A8-12C6-4EEC-9364-1EEB0CC36989}" name="Saldo devedor" dataDxfId="174"/>
    <tableColumn id="4" xr3:uid="{0CA1946D-11C5-457D-8D0D-6963E6998919}" name="Líquido (Aut.)" dataDxfId="173">
      <calculatedColumnFormula>TabPAI[[#This Row],[Valor]]-TabPAI[[#This Row],[Saldo devedor]]</calculatedColumnFormula>
    </tableColumn>
  </tableColumns>
  <tableStyleInfo name="Controle Pessoal V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8CCE573-CD81-418B-80F1-46F5FFE46F90}" name="TabDPF" displayName="TabDPF" ref="M7:P8" insertRow="1" totalsRowShown="0" headerRowDxfId="172">
  <autoFilter ref="M7:P8" xr:uid="{88CCE573-CD81-418B-80F1-46F5FFE46F90}">
    <filterColumn colId="0" hiddenButton="1"/>
    <filterColumn colId="1" hiddenButton="1"/>
    <filterColumn colId="2" hiddenButton="1"/>
    <filterColumn colId="3" hiddenButton="1"/>
  </autoFilter>
  <tableColumns count="4">
    <tableColumn id="1" xr3:uid="{98F97197-F964-4B9C-839A-B70277923C18}" name="Descrição dívida"/>
    <tableColumn id="2" xr3:uid="{2E7FA75D-9F00-4406-BC2C-C09E8F7AF7FA}" name="N° Parc. Pagar" dataDxfId="171"/>
    <tableColumn id="3" xr3:uid="{B001B938-3321-4456-B7E6-139C525C3AD6}" name="Valor Parcelas" dataDxfId="170"/>
    <tableColumn id="4" xr3:uid="{22AED0C9-0C78-40EF-9A57-4C0153F83769}" name="Saldo devedor" dataDxfId="169"/>
  </tableColumns>
  <tableStyleInfo name="Controle Pessoal V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12C154D-90A3-4F7A-ACFB-202741DA4D03}" name="TabProj" displayName="TabProj" ref="B7:E8" totalsRowShown="0" headerRowDxfId="168">
  <autoFilter ref="B7:E8" xr:uid="{812C154D-90A3-4F7A-ACFB-202741DA4D03}">
    <filterColumn colId="0" hiddenButton="1"/>
    <filterColumn colId="1" hiddenButton="1"/>
    <filterColumn colId="2" hiddenButton="1"/>
    <filterColumn colId="3" hiddenButton="1"/>
  </autoFilter>
  <tableColumns count="4">
    <tableColumn id="1" xr3:uid="{1599FB75-88BF-4DDD-B8AE-068E6239B8B4}" name="Descrição Projeto"/>
    <tableColumn id="2" xr3:uid="{6AAB659E-DC65-4E6A-822E-9EBCFD04C98B}" name="Valor" dataDxfId="167"/>
    <tableColumn id="3" xr3:uid="{0BE8B8A1-1BF0-4C10-91F8-BCDD2C7F2167}" name="Ano" dataDxfId="166"/>
    <tableColumn id="4" xr3:uid="{5A0B46DE-B434-49E2-ABE6-54E6BCA5DFAC}" name="Prazo (Autom.)" dataDxfId="165">
      <calculatedColumnFormula>IFERROR(VLOOKUP(TabProj[[#This Row],[Ano]],ClassProj,2,0),"")</calculatedColumnFormula>
    </tableColumn>
  </tableColumns>
  <tableStyleInfo name="Controle Pessoal V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5B2F428-2ADA-4152-9D95-937839FCD7AF}" name="TabRegOFX" displayName="TabRegOFX" ref="B6:E7" insertRow="1" totalsRowShown="0" headerRowDxfId="164">
  <autoFilter ref="B6:E7" xr:uid="{C5B2F428-2ADA-4152-9D95-937839FCD7AF}">
    <filterColumn colId="0" hiddenButton="1"/>
    <filterColumn colId="1" hiddenButton="1"/>
    <filterColumn colId="2" hiddenButton="1"/>
    <filterColumn colId="3" hiddenButton="1"/>
  </autoFilter>
  <tableColumns count="4">
    <tableColumn id="1" xr3:uid="{F9F03A02-C63D-4623-A042-0EC2F34EA2EE}" name="Data Extração"/>
    <tableColumn id="2" xr3:uid="{24988764-C433-4FC6-9299-E9D725337CD9}" name="Banco"/>
    <tableColumn id="3" xr3:uid="{613CB783-0730-4480-8323-871CC53ADCF7}" name="Período"/>
    <tableColumn id="4" xr3:uid="{BA2815E8-1337-4482-AAD9-F3E22FBDC54D}" name="Nome do Arquivo"/>
  </tableColumns>
  <tableStyleInfo name="Controle Pessoal V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2D562D3-21C3-44E8-9B8E-C49EBAACB0B6}" name="TabRegCartao" displayName="TabRegCartao" ref="G6:J7" insertRow="1" totalsRowShown="0" headerRowDxfId="163">
  <sortState xmlns:xlrd2="http://schemas.microsoft.com/office/spreadsheetml/2017/richdata2" ref="G7:J7">
    <sortCondition ref="G6:G7"/>
  </sortState>
  <tableColumns count="4">
    <tableColumn id="1" xr3:uid="{6365D34A-C6EF-4A15-9C73-68FF1E7ECD29}" name="Data Pagto" dataDxfId="162"/>
    <tableColumn id="2" xr3:uid="{F02A4C4C-198B-4C0D-9C6E-5EBA0C7E159F}" name="Cartão"/>
    <tableColumn id="3" xr3:uid="{552D022B-A22F-44BB-8E80-21698FCD59C6}" name="Período" dataDxfId="161">
      <calculatedColumnFormula>PROPER(TEXT(TabRegCartao[[#This Row],[Data Pagto]],"mmm"))&amp;"/"&amp;YEAR(TabRegCartao[[#This Row],[Data Pagto]])</calculatedColumnFormula>
    </tableColumn>
    <tableColumn id="4" xr3:uid="{10CA8A5E-A4F6-4B45-9D5F-7DD9414D554B}" name="Valor" dataDxfId="160"/>
  </tableColumns>
  <tableStyleInfo name="Controle Pessoal V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11405E-CCA3-468C-951F-1981D5836B62}" name="TabCategoria" displayName="TabCategoria" ref="B6:G168" totalsRowShown="0" headerRowDxfId="159">
  <tableColumns count="6">
    <tableColumn id="1" xr3:uid="{00349EDB-C51C-42C0-94AA-F51E68E09626}" name="Classificação" dataDxfId="158">
      <calculatedColumnFormula>UPPER(TabCategoria[[#This Row],[Categoria]])&amp;" - "&amp;TabCategoria[[#This Row],[Subcategoria]]</calculatedColumnFormula>
    </tableColumn>
    <tableColumn id="2" xr3:uid="{175C4E8C-0015-4756-A6EE-6F87FC400ED5}" name="Grupo"/>
    <tableColumn id="3" xr3:uid="{2E201417-16EB-42B8-8626-A4FC090BF847}" name="Tipo"/>
    <tableColumn id="4" xr3:uid="{F46BF8E5-230A-47D7-B05B-53F1232B3286}" name="Categoria"/>
    <tableColumn id="5" xr3:uid="{0E4699BD-9964-472E-BBF6-FD05EE2701E7}" name="Subcategoria"/>
    <tableColumn id="6" xr3:uid="{91C34C58-161D-414E-9A60-089FBAC319D4}" name="Meta Mês" dataDxfId="157"/>
  </tableColumns>
  <tableStyleInfo name="Controle Pessoal V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F10618-4F47-4B7C-BBC0-23480E1001B5}" name="TabInst" displayName="TabInst" ref="I6:M7" insertRow="1" totalsRowShown="0" headerRowDxfId="156">
  <tableColumns count="5">
    <tableColumn id="1" xr3:uid="{7E069993-1ECD-4C31-B4CB-1EADA0F1C9DC}" name="INSTITUIÇÃO"/>
    <tableColumn id="2" xr3:uid="{A7A592EC-8F7E-4A87-9040-31FAD1BBF800}" name="TIPO"/>
    <tableColumn id="3" xr3:uid="{AFA07EA0-7EAC-4B5A-87FC-5852C663961E}" name="SALDO INICIAL" dataDxfId="155"/>
    <tableColumn id="4" xr3:uid="{D5F16D3A-81AA-417B-B605-55A8F190E5A1}" name="SALDO ATUAL" dataDxfId="154">
      <calculatedColumnFormula>IF(TabInst[[#This Row],[TIPO]]="Cartão","Não se aplica",TabInst[[#This Row],[SALDO INICIAL]]
+ SUMIFS(LO[Valor],LO[Status],"Realizado",LO[CONTA/CARTAO],"Conta",LO[Tipo],"RECEITA",LO[INST SIMPLES],TabInst[[#This Row],[INSTITUIÇÃO]])
- SUMIFS(LO[Valor],LO[Status],"Realizado",LO[CONTA/CARTAO],"Conta",LO[Tipo],"DESPESA",LO[INST SIMPLES],TabInst[[#This Row],[INSTITUIÇÃO]])
)</calculatedColumnFormula>
    </tableColumn>
    <tableColumn id="5" xr3:uid="{85AD0EC8-863B-4D5D-94FA-F97ECF4A5945}" name="DESCRIÇÃO" dataDxfId="153">
      <calculatedColumnFormula>UPPER(TabInst[[#This Row],[TIPO]])&amp;" - "&amp;TabInst[[#This Row],[INSTITUIÇÃO]]</calculatedColumnFormula>
    </tableColumn>
  </tableColumns>
  <tableStyleInfo name="Controle Pessoal V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B84B7E-9D8C-4CC7-AF36-2BEBD5C9BF83}" name="TabPessoas" displayName="TabPessoas" ref="O6:O7" insertRow="1" totalsRowShown="0" headerRowDxfId="152" dataDxfId="151">
  <tableColumns count="1">
    <tableColumn id="1" xr3:uid="{FAD14D93-F09B-43F6-A94D-3AB93D930F0F}" name="PESSOAS" dataDxfId="150"/>
  </tableColumns>
  <tableStyleInfo name="Controle Pessoal V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F4686FA-4501-41B1-8745-0B698A54E70D}" name="Tabela11" displayName="Tabela11" ref="Q6:S7" totalsRowShown="0" headerRowDxfId="149" dataDxfId="148">
  <autoFilter ref="Q6:S7" xr:uid="{FF4686FA-4501-41B1-8745-0B698A54E70D}">
    <filterColumn colId="0" hiddenButton="1"/>
    <filterColumn colId="1" hiddenButton="1"/>
    <filterColumn colId="2" hiddenButton="1"/>
  </autoFilter>
  <tableColumns count="3">
    <tableColumn id="1" xr3:uid="{1DA00811-1E2F-4FF1-9999-52857F14F9E9}" name="REV" dataDxfId="147"/>
    <tableColumn id="2" xr3:uid="{BFDFA47B-3BEF-482D-8248-784BDAC9C9EB}" name="DATA" dataDxfId="146"/>
    <tableColumn id="3" xr3:uid="{0FC5DA13-F697-4337-BB1A-D5A6B82AB308}" name="DESCRIÇÃO" dataDxfId="145"/>
  </tableColumns>
  <tableStyleInfo name="Controle Pessoal V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Controle Pessoal V 6.0">
      <a:dk1>
        <a:srgbClr val="112C56"/>
      </a:dk1>
      <a:lt1>
        <a:srgbClr val="D8D8D8"/>
      </a:lt1>
      <a:dk2>
        <a:srgbClr val="D8D8D8"/>
      </a:dk2>
      <a:lt2>
        <a:srgbClr val="112C56"/>
      </a:lt2>
      <a:accent1>
        <a:srgbClr val="2C96B9"/>
      </a:accent1>
      <a:accent2>
        <a:srgbClr val="57C6E7"/>
      </a:accent2>
      <a:accent3>
        <a:srgbClr val="B2E1EF"/>
      </a:accent3>
      <a:accent4>
        <a:srgbClr val="C5F1FE"/>
      </a:accent4>
      <a:accent5>
        <a:srgbClr val="293049"/>
      </a:accent5>
      <a:accent6>
        <a:srgbClr val="333A56"/>
      </a:accent6>
      <a:hlink>
        <a:srgbClr val="FFFFFF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2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27689-002D-4552-8B8B-91092F79E79E}">
  <sheetPr codeName="Planilha1"/>
  <dimension ref="A1:U36"/>
  <sheetViews>
    <sheetView zoomScaleNormal="100" workbookViewId="0">
      <selection activeCell="A2" sqref="A2"/>
    </sheetView>
  </sheetViews>
  <sheetFormatPr defaultColWidth="0" defaultRowHeight="14.4" zeroHeight="1" x14ac:dyDescent="0.3"/>
  <cols>
    <col min="1" max="21" width="9.109375" customWidth="1"/>
    <col min="22" max="16384" width="9.109375" hidden="1"/>
  </cols>
  <sheetData>
    <row r="1" spans="21:21" ht="45.75" customHeight="1" x14ac:dyDescent="0.3">
      <c r="U1" s="1"/>
    </row>
    <row r="2" spans="21:21" x14ac:dyDescent="0.3">
      <c r="U2" s="1"/>
    </row>
    <row r="3" spans="21:21" x14ac:dyDescent="0.3">
      <c r="U3" s="1"/>
    </row>
    <row r="4" spans="21:21" x14ac:dyDescent="0.3">
      <c r="U4" s="1"/>
    </row>
    <row r="5" spans="21:21" x14ac:dyDescent="0.3">
      <c r="U5" s="1"/>
    </row>
    <row r="6" spans="21:21" x14ac:dyDescent="0.3">
      <c r="U6" s="1"/>
    </row>
    <row r="7" spans="21:21" x14ac:dyDescent="0.3">
      <c r="U7" s="1"/>
    </row>
    <row r="8" spans="21:21" x14ac:dyDescent="0.3">
      <c r="U8" s="1"/>
    </row>
    <row r="9" spans="21:21" x14ac:dyDescent="0.3">
      <c r="U9" s="1"/>
    </row>
    <row r="10" spans="21:21" x14ac:dyDescent="0.3">
      <c r="U10" s="1"/>
    </row>
    <row r="11" spans="21:21" x14ac:dyDescent="0.3">
      <c r="U11" s="1"/>
    </row>
    <row r="12" spans="21:21" x14ac:dyDescent="0.3">
      <c r="U12" s="1"/>
    </row>
    <row r="13" spans="21:21" x14ac:dyDescent="0.3">
      <c r="U13" s="1"/>
    </row>
    <row r="14" spans="21:21" x14ac:dyDescent="0.3">
      <c r="U14" s="1"/>
    </row>
    <row r="15" spans="21:21" x14ac:dyDescent="0.3">
      <c r="U15" s="1"/>
    </row>
    <row r="16" spans="21:21" x14ac:dyDescent="0.3">
      <c r="U16" s="1"/>
    </row>
    <row r="17" spans="21:21" x14ac:dyDescent="0.3">
      <c r="U17" s="1"/>
    </row>
    <row r="18" spans="21:21" x14ac:dyDescent="0.3">
      <c r="U18" s="1"/>
    </row>
    <row r="19" spans="21:21" x14ac:dyDescent="0.3">
      <c r="U19" s="1"/>
    </row>
    <row r="20" spans="21:21" x14ac:dyDescent="0.3">
      <c r="U20" s="1"/>
    </row>
    <row r="21" spans="21:21" x14ac:dyDescent="0.3">
      <c r="U21" s="1"/>
    </row>
    <row r="22" spans="21:21" x14ac:dyDescent="0.3">
      <c r="U22" s="1"/>
    </row>
    <row r="23" spans="21:21" x14ac:dyDescent="0.3">
      <c r="U23" s="1"/>
    </row>
    <row r="24" spans="21:21" x14ac:dyDescent="0.3">
      <c r="U24" s="1"/>
    </row>
    <row r="25" spans="21:21" x14ac:dyDescent="0.3">
      <c r="U25" s="1"/>
    </row>
    <row r="26" spans="21:21" x14ac:dyDescent="0.3">
      <c r="U26" s="1"/>
    </row>
    <row r="27" spans="21:21" x14ac:dyDescent="0.3">
      <c r="U27" s="1"/>
    </row>
    <row r="28" spans="21:21" x14ac:dyDescent="0.3">
      <c r="U28" s="1"/>
    </row>
    <row r="29" spans="21:21" x14ac:dyDescent="0.3">
      <c r="U29" s="1"/>
    </row>
    <row r="30" spans="21:21" x14ac:dyDescent="0.3">
      <c r="U30" s="1"/>
    </row>
    <row r="31" spans="21:21" x14ac:dyDescent="0.3">
      <c r="U31" s="1"/>
    </row>
    <row r="32" spans="21:21" x14ac:dyDescent="0.3">
      <c r="U32" s="1"/>
    </row>
    <row r="33" spans="1:21" x14ac:dyDescent="0.3">
      <c r="U33" s="1"/>
    </row>
    <row r="34" spans="1:21" x14ac:dyDescent="0.3">
      <c r="U34" s="1"/>
    </row>
    <row r="35" spans="1:2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</row>
    <row r="36" spans="1:2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</row>
  </sheetData>
  <sheetProtection sheet="1" objects="1" scenarios="1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7A853-EC0E-48D0-B8F5-7496FFB70DF8}">
  <sheetPr codeName="Planilha2"/>
  <dimension ref="A1:AG87"/>
  <sheetViews>
    <sheetView showGridLines="0" zoomScaleNormal="100" workbookViewId="0">
      <pane xSplit="2" ySplit="7" topLeftCell="C49" activePane="bottomRight" state="frozen"/>
      <selection activeCell="D35" sqref="D35"/>
      <selection pane="topRight" activeCell="D35" sqref="D35"/>
      <selection pane="bottomLeft" activeCell="D35" sqref="D35"/>
      <selection pane="bottomRight" activeCell="B22" sqref="B22"/>
    </sheetView>
  </sheetViews>
  <sheetFormatPr defaultRowHeight="14.4" x14ac:dyDescent="0.3"/>
  <cols>
    <col min="1" max="1" width="2.6640625" customWidth="1"/>
    <col min="2" max="2" width="33.6640625" customWidth="1"/>
    <col min="3" max="31" width="9.6640625" style="13" customWidth="1"/>
  </cols>
  <sheetData>
    <row r="1" spans="1:31" ht="45.75" customHeight="1" x14ac:dyDescent="0.3"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</row>
    <row r="2" spans="1:31" ht="9" customHeight="1" x14ac:dyDescent="0.3">
      <c r="A2" s="1"/>
      <c r="B2" s="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</row>
    <row r="3" spans="1:31" hidden="1" x14ac:dyDescent="0.3">
      <c r="A3" s="1"/>
      <c r="B3" s="27" t="s">
        <v>5</v>
      </c>
      <c r="C3" s="13" t="s">
        <v>225</v>
      </c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</row>
    <row r="4" spans="1:31" x14ac:dyDescent="0.3">
      <c r="A4" s="1"/>
      <c r="B4" s="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</row>
    <row r="5" spans="1:31" hidden="1" x14ac:dyDescent="0.3">
      <c r="B5" s="27" t="s">
        <v>223</v>
      </c>
      <c r="C5"/>
      <c r="D5"/>
    </row>
    <row r="6" spans="1:31" x14ac:dyDescent="0.3">
      <c r="C6" s="14">
        <v>2026</v>
      </c>
      <c r="D6" s="14"/>
      <c r="E6" s="14"/>
      <c r="F6" s="14"/>
      <c r="G6" s="14"/>
      <c r="H6" s="14"/>
      <c r="I6" s="14"/>
      <c r="J6" s="14"/>
      <c r="K6" s="14"/>
      <c r="L6" s="14" t="s">
        <v>283</v>
      </c>
      <c r="M6" s="14">
        <v>2027</v>
      </c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 t="s">
        <v>339</v>
      </c>
      <c r="Z6" s="14">
        <v>2028</v>
      </c>
      <c r="AA6" s="14"/>
      <c r="AB6" s="14"/>
      <c r="AC6" s="14"/>
      <c r="AD6" s="14" t="s">
        <v>351</v>
      </c>
      <c r="AE6" s="14" t="s">
        <v>222</v>
      </c>
    </row>
    <row r="7" spans="1:31" x14ac:dyDescent="0.3">
      <c r="C7" t="s">
        <v>333</v>
      </c>
      <c r="D7" t="s">
        <v>331</v>
      </c>
      <c r="E7" t="s">
        <v>332</v>
      </c>
      <c r="F7" t="s">
        <v>356</v>
      </c>
      <c r="G7" t="s">
        <v>357</v>
      </c>
      <c r="H7" t="s">
        <v>358</v>
      </c>
      <c r="I7" t="s">
        <v>359</v>
      </c>
      <c r="J7" t="s">
        <v>360</v>
      </c>
      <c r="K7" t="s">
        <v>361</v>
      </c>
      <c r="L7" s="14"/>
      <c r="M7" t="s">
        <v>340</v>
      </c>
      <c r="N7" t="s">
        <v>341</v>
      </c>
      <c r="O7" t="s">
        <v>333</v>
      </c>
      <c r="P7" t="s">
        <v>331</v>
      </c>
      <c r="Q7" t="s">
        <v>332</v>
      </c>
      <c r="R7" t="s">
        <v>356</v>
      </c>
      <c r="S7" t="s">
        <v>357</v>
      </c>
      <c r="T7" t="s">
        <v>358</v>
      </c>
      <c r="U7" t="s">
        <v>359</v>
      </c>
      <c r="V7" t="s">
        <v>360</v>
      </c>
      <c r="W7" t="s">
        <v>361</v>
      </c>
      <c r="X7" t="s">
        <v>362</v>
      </c>
      <c r="Y7" s="14"/>
      <c r="Z7" t="s">
        <v>340</v>
      </c>
      <c r="AA7" t="s">
        <v>341</v>
      </c>
      <c r="AB7" t="s">
        <v>356</v>
      </c>
      <c r="AC7" t="s">
        <v>362</v>
      </c>
      <c r="AD7" s="14"/>
      <c r="AE7" s="14"/>
    </row>
    <row r="8" spans="1:31" x14ac:dyDescent="0.3">
      <c r="B8" s="18" t="s">
        <v>18</v>
      </c>
      <c r="C8" s="29">
        <v>3000</v>
      </c>
      <c r="D8" s="29">
        <v>3952</v>
      </c>
      <c r="E8" s="29">
        <v>2927</v>
      </c>
      <c r="F8" s="29">
        <v>3661.57</v>
      </c>
      <c r="G8" s="29">
        <v>8000</v>
      </c>
      <c r="H8" s="29">
        <v>2927</v>
      </c>
      <c r="I8" s="29">
        <v>2927</v>
      </c>
      <c r="J8" s="29">
        <v>2927</v>
      </c>
      <c r="K8" s="29">
        <v>2927</v>
      </c>
      <c r="L8" s="29">
        <v>33248.57</v>
      </c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>
        <v>33248.57</v>
      </c>
    </row>
    <row r="9" spans="1:31" x14ac:dyDescent="0.3">
      <c r="B9" s="18" t="s">
        <v>40</v>
      </c>
      <c r="C9" s="29">
        <v>-2600.2799999999997</v>
      </c>
      <c r="D9" s="29">
        <v>-2950.2799999999997</v>
      </c>
      <c r="E9" s="29">
        <v>-1309.48</v>
      </c>
      <c r="F9" s="29">
        <v>-3498.3199999999997</v>
      </c>
      <c r="G9" s="29">
        <v>-6748.66</v>
      </c>
      <c r="H9" s="29">
        <v>-2480.2799999999997</v>
      </c>
      <c r="I9" s="29">
        <v>-2480.2799999999997</v>
      </c>
      <c r="J9" s="29">
        <v>-1309.48</v>
      </c>
      <c r="K9" s="29">
        <v>-1309.48</v>
      </c>
      <c r="L9" s="29">
        <v>-24686.539999999994</v>
      </c>
      <c r="M9" s="29">
        <v>-391</v>
      </c>
      <c r="N9" s="29">
        <v>-391</v>
      </c>
      <c r="O9" s="29">
        <v>-391</v>
      </c>
      <c r="P9" s="29">
        <v>-391</v>
      </c>
      <c r="Q9" s="29">
        <v>-391</v>
      </c>
      <c r="R9" s="29">
        <v>-391</v>
      </c>
      <c r="S9" s="29">
        <v>-391</v>
      </c>
      <c r="T9" s="29">
        <v>-391</v>
      </c>
      <c r="U9" s="29">
        <v>-391</v>
      </c>
      <c r="V9" s="29">
        <v>-391</v>
      </c>
      <c r="W9" s="29">
        <v>-391</v>
      </c>
      <c r="X9" s="29">
        <v>-391</v>
      </c>
      <c r="Y9" s="29">
        <v>-4692</v>
      </c>
      <c r="Z9" s="29">
        <v>-391</v>
      </c>
      <c r="AA9" s="29">
        <v>-391</v>
      </c>
      <c r="AB9" s="29">
        <v>-391</v>
      </c>
      <c r="AC9" s="29">
        <v>-391</v>
      </c>
      <c r="AD9" s="29">
        <v>-1564</v>
      </c>
      <c r="AE9" s="29">
        <v>-30942.539999999994</v>
      </c>
    </row>
    <row r="10" spans="1:31" x14ac:dyDescent="0.3">
      <c r="B10" s="18" t="s">
        <v>222</v>
      </c>
      <c r="C10" s="29">
        <v>399.72000000000025</v>
      </c>
      <c r="D10" s="29">
        <v>1001.7200000000003</v>
      </c>
      <c r="E10" s="29">
        <v>1617.52</v>
      </c>
      <c r="F10" s="29">
        <v>163.25000000000045</v>
      </c>
      <c r="G10" s="29">
        <v>1251.3400000000001</v>
      </c>
      <c r="H10" s="29">
        <v>446.72000000000025</v>
      </c>
      <c r="I10" s="29">
        <v>446.72000000000025</v>
      </c>
      <c r="J10" s="29">
        <v>1617.52</v>
      </c>
      <c r="K10" s="29">
        <v>1617.52</v>
      </c>
      <c r="L10" s="29">
        <v>8562.0300000000061</v>
      </c>
      <c r="M10" s="29">
        <v>-391</v>
      </c>
      <c r="N10" s="29">
        <v>-391</v>
      </c>
      <c r="O10" s="29">
        <v>-391</v>
      </c>
      <c r="P10" s="29">
        <v>-391</v>
      </c>
      <c r="Q10" s="29">
        <v>-391</v>
      </c>
      <c r="R10" s="29">
        <v>-391</v>
      </c>
      <c r="S10" s="29">
        <v>-391</v>
      </c>
      <c r="T10" s="29">
        <v>-391</v>
      </c>
      <c r="U10" s="29">
        <v>-391</v>
      </c>
      <c r="V10" s="29">
        <v>-391</v>
      </c>
      <c r="W10" s="29">
        <v>-391</v>
      </c>
      <c r="X10" s="29">
        <v>-391</v>
      </c>
      <c r="Y10" s="29">
        <v>-4692</v>
      </c>
      <c r="Z10" s="29">
        <v>-391</v>
      </c>
      <c r="AA10" s="29">
        <v>-391</v>
      </c>
      <c r="AB10" s="29">
        <v>-391</v>
      </c>
      <c r="AC10" s="29">
        <v>-391</v>
      </c>
      <c r="AD10" s="29">
        <v>-1564</v>
      </c>
      <c r="AE10" s="29">
        <v>2306.0300000000061</v>
      </c>
    </row>
    <row r="12" spans="1:31" hidden="1" x14ac:dyDescent="0.3">
      <c r="B12" s="27" t="s">
        <v>228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1" x14ac:dyDescent="0.3">
      <c r="C13" s="13" t="s">
        <v>222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1" x14ac:dyDescent="0.3"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1" x14ac:dyDescent="0.3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1" x14ac:dyDescent="0.3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8" spans="2:33" hidden="1" x14ac:dyDescent="0.3">
      <c r="B18" s="27" t="s">
        <v>223</v>
      </c>
      <c r="C18"/>
      <c r="D18"/>
      <c r="AF18" s="13"/>
      <c r="AG18" s="13"/>
    </row>
    <row r="19" spans="2:33" x14ac:dyDescent="0.3">
      <c r="C19" s="14">
        <v>2026</v>
      </c>
      <c r="D19" s="14"/>
      <c r="E19" s="14"/>
      <c r="F19" s="14"/>
      <c r="G19" s="14"/>
      <c r="H19" s="14"/>
      <c r="I19" s="14"/>
      <c r="J19" s="14"/>
      <c r="K19" s="14"/>
      <c r="L19" s="14" t="s">
        <v>283</v>
      </c>
      <c r="M19" s="14">
        <v>1900</v>
      </c>
      <c r="N19" s="14" t="s">
        <v>365</v>
      </c>
      <c r="O19" s="14">
        <v>2027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 t="s">
        <v>339</v>
      </c>
      <c r="AB19" s="14">
        <v>2028</v>
      </c>
      <c r="AC19" s="14"/>
      <c r="AD19" s="14"/>
      <c r="AE19" s="14"/>
      <c r="AF19" s="14" t="s">
        <v>351</v>
      </c>
      <c r="AG19" s="14" t="s">
        <v>222</v>
      </c>
    </row>
    <row r="20" spans="2:33" x14ac:dyDescent="0.3">
      <c r="C20" t="s">
        <v>333</v>
      </c>
      <c r="D20" t="s">
        <v>331</v>
      </c>
      <c r="E20" t="s">
        <v>332</v>
      </c>
      <c r="F20" t="s">
        <v>356</v>
      </c>
      <c r="G20" t="s">
        <v>357</v>
      </c>
      <c r="H20" t="s">
        <v>358</v>
      </c>
      <c r="I20" t="s">
        <v>359</v>
      </c>
      <c r="J20" t="s">
        <v>360</v>
      </c>
      <c r="K20" t="s">
        <v>361</v>
      </c>
      <c r="L20" s="14"/>
      <c r="M20" t="s">
        <v>340</v>
      </c>
      <c r="N20" s="14"/>
      <c r="O20" t="s">
        <v>340</v>
      </c>
      <c r="P20" t="s">
        <v>341</v>
      </c>
      <c r="Q20" t="s">
        <v>333</v>
      </c>
      <c r="R20" t="s">
        <v>331</v>
      </c>
      <c r="S20" t="s">
        <v>332</v>
      </c>
      <c r="T20" t="s">
        <v>356</v>
      </c>
      <c r="U20" t="s">
        <v>357</v>
      </c>
      <c r="V20" t="s">
        <v>358</v>
      </c>
      <c r="W20" t="s">
        <v>359</v>
      </c>
      <c r="X20" t="s">
        <v>360</v>
      </c>
      <c r="Y20" t="s">
        <v>361</v>
      </c>
      <c r="Z20" t="s">
        <v>362</v>
      </c>
      <c r="AA20" s="14"/>
      <c r="AB20" t="s">
        <v>340</v>
      </c>
      <c r="AC20" t="s">
        <v>341</v>
      </c>
      <c r="AD20" t="s">
        <v>356</v>
      </c>
      <c r="AE20" t="s">
        <v>362</v>
      </c>
      <c r="AF20" s="14"/>
      <c r="AG20" s="14"/>
    </row>
    <row r="21" spans="2:33" x14ac:dyDescent="0.3">
      <c r="B21" s="42" t="s">
        <v>17</v>
      </c>
      <c r="C21" s="29">
        <v>2384.1</v>
      </c>
      <c r="D21" s="29">
        <v>2251.1</v>
      </c>
      <c r="E21" s="29">
        <v>2401.1</v>
      </c>
      <c r="F21" s="29">
        <v>1654.0900000000006</v>
      </c>
      <c r="G21" s="29">
        <v>7241</v>
      </c>
      <c r="H21" s="29">
        <v>2401.1</v>
      </c>
      <c r="I21" s="29">
        <v>2401.1</v>
      </c>
      <c r="J21" s="29">
        <v>2401.1</v>
      </c>
      <c r="K21" s="29">
        <v>2401.1</v>
      </c>
      <c r="L21" s="29">
        <v>25535.789999999997</v>
      </c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>
        <v>25535.789999999997</v>
      </c>
    </row>
    <row r="22" spans="2:33" x14ac:dyDescent="0.3">
      <c r="B22" s="42" t="s">
        <v>18</v>
      </c>
      <c r="C22" s="29">
        <v>3000</v>
      </c>
      <c r="D22" s="29">
        <v>2927</v>
      </c>
      <c r="E22" s="29">
        <v>2927</v>
      </c>
      <c r="F22" s="29">
        <v>2661.57</v>
      </c>
      <c r="G22" s="29">
        <v>8000</v>
      </c>
      <c r="H22" s="29">
        <v>2927</v>
      </c>
      <c r="I22" s="29">
        <v>2927</v>
      </c>
      <c r="J22" s="29">
        <v>2927</v>
      </c>
      <c r="K22" s="29">
        <v>2927</v>
      </c>
      <c r="L22" s="29">
        <v>31223.57</v>
      </c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>
        <v>31223.57</v>
      </c>
    </row>
    <row r="23" spans="2:33" x14ac:dyDescent="0.3">
      <c r="B23" s="42" t="s">
        <v>33</v>
      </c>
      <c r="C23" s="29">
        <v>100</v>
      </c>
      <c r="D23" s="29"/>
      <c r="E23" s="29"/>
      <c r="F23" s="29">
        <v>261.57</v>
      </c>
      <c r="G23" s="29">
        <v>5100</v>
      </c>
      <c r="H23" s="29"/>
      <c r="I23" s="29"/>
      <c r="J23" s="29"/>
      <c r="K23" s="29"/>
      <c r="L23" s="29">
        <v>5461.57</v>
      </c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>
        <v>5461.57</v>
      </c>
    </row>
    <row r="24" spans="2:33" x14ac:dyDescent="0.3">
      <c r="B24" s="42" t="s">
        <v>39</v>
      </c>
      <c r="C24" s="29">
        <v>100</v>
      </c>
      <c r="D24" s="29"/>
      <c r="E24" s="29"/>
      <c r="F24" s="29">
        <v>261.57</v>
      </c>
      <c r="G24" s="29">
        <v>5100</v>
      </c>
      <c r="H24" s="29"/>
      <c r="I24" s="29"/>
      <c r="J24" s="29"/>
      <c r="K24" s="29"/>
      <c r="L24" s="29">
        <v>5461.57</v>
      </c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>
        <v>5461.57</v>
      </c>
    </row>
    <row r="25" spans="2:33" x14ac:dyDescent="0.3">
      <c r="B25" s="42" t="s">
        <v>19</v>
      </c>
      <c r="C25" s="29">
        <v>2900</v>
      </c>
      <c r="D25" s="29">
        <v>2927</v>
      </c>
      <c r="E25" s="29">
        <v>2927</v>
      </c>
      <c r="F25" s="29">
        <v>2400</v>
      </c>
      <c r="G25" s="29">
        <v>2900</v>
      </c>
      <c r="H25" s="29">
        <v>2927</v>
      </c>
      <c r="I25" s="29">
        <v>2927</v>
      </c>
      <c r="J25" s="29">
        <v>2927</v>
      </c>
      <c r="K25" s="29">
        <v>2927</v>
      </c>
      <c r="L25" s="29">
        <v>25762</v>
      </c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>
        <v>25762</v>
      </c>
    </row>
    <row r="26" spans="2:33" x14ac:dyDescent="0.3">
      <c r="B26" s="42" t="s">
        <v>20</v>
      </c>
      <c r="C26" s="29">
        <v>2900</v>
      </c>
      <c r="D26" s="29">
        <v>2927</v>
      </c>
      <c r="E26" s="29">
        <v>2927</v>
      </c>
      <c r="F26" s="29">
        <v>2400</v>
      </c>
      <c r="G26" s="29">
        <v>2900</v>
      </c>
      <c r="H26" s="29">
        <v>2927</v>
      </c>
      <c r="I26" s="29">
        <v>2927</v>
      </c>
      <c r="J26" s="29">
        <v>2927</v>
      </c>
      <c r="K26" s="29">
        <v>2927</v>
      </c>
      <c r="L26" s="29">
        <v>25762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>
        <v>25762</v>
      </c>
    </row>
    <row r="27" spans="2:33" x14ac:dyDescent="0.3">
      <c r="B27" s="42" t="s">
        <v>40</v>
      </c>
      <c r="C27" s="29">
        <v>-615.9</v>
      </c>
      <c r="D27" s="29">
        <v>-675.9</v>
      </c>
      <c r="E27" s="29">
        <v>-525.9</v>
      </c>
      <c r="F27" s="29">
        <v>-1007.48</v>
      </c>
      <c r="G27" s="29">
        <v>-759</v>
      </c>
      <c r="H27" s="29">
        <v>-525.9</v>
      </c>
      <c r="I27" s="29">
        <v>-525.9</v>
      </c>
      <c r="J27" s="29">
        <v>-525.9</v>
      </c>
      <c r="K27" s="29">
        <v>-525.9</v>
      </c>
      <c r="L27" s="29">
        <v>-5687.78</v>
      </c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>
        <v>-5687.78</v>
      </c>
    </row>
    <row r="28" spans="2:33" x14ac:dyDescent="0.3">
      <c r="B28" s="42" t="s">
        <v>64</v>
      </c>
      <c r="C28" s="29"/>
      <c r="D28" s="29"/>
      <c r="E28" s="29"/>
      <c r="F28" s="29">
        <v>-95.63</v>
      </c>
      <c r="G28" s="29"/>
      <c r="H28" s="29"/>
      <c r="I28" s="29"/>
      <c r="J28" s="29"/>
      <c r="K28" s="29"/>
      <c r="L28" s="29">
        <v>-95.63</v>
      </c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>
        <v>-95.63</v>
      </c>
    </row>
    <row r="29" spans="2:33" x14ac:dyDescent="0.3">
      <c r="B29" s="42" t="s">
        <v>69</v>
      </c>
      <c r="C29" s="29"/>
      <c r="D29" s="29"/>
      <c r="E29" s="29"/>
      <c r="F29" s="29">
        <v>-46.89</v>
      </c>
      <c r="G29" s="29"/>
      <c r="H29" s="29"/>
      <c r="I29" s="29"/>
      <c r="J29" s="29"/>
      <c r="K29" s="29"/>
      <c r="L29" s="29">
        <v>-46.89</v>
      </c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>
        <v>-46.89</v>
      </c>
    </row>
    <row r="30" spans="2:33" x14ac:dyDescent="0.3">
      <c r="B30" s="42" t="s">
        <v>65</v>
      </c>
      <c r="C30" s="29"/>
      <c r="D30" s="29"/>
      <c r="E30" s="29"/>
      <c r="F30" s="29">
        <v>-48.74</v>
      </c>
      <c r="G30" s="29"/>
      <c r="H30" s="29"/>
      <c r="I30" s="29"/>
      <c r="J30" s="29"/>
      <c r="K30" s="29"/>
      <c r="L30" s="29">
        <v>-48.74</v>
      </c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>
        <v>-48.74</v>
      </c>
    </row>
    <row r="31" spans="2:33" x14ac:dyDescent="0.3">
      <c r="B31" s="42" t="s">
        <v>56</v>
      </c>
      <c r="C31" s="29">
        <v>-125.9</v>
      </c>
      <c r="D31" s="29">
        <v>-125.9</v>
      </c>
      <c r="E31" s="29">
        <v>-125.9</v>
      </c>
      <c r="F31" s="29">
        <v>-66</v>
      </c>
      <c r="G31" s="29">
        <v>-59</v>
      </c>
      <c r="H31" s="29">
        <v>-125.9</v>
      </c>
      <c r="I31" s="29">
        <v>-125.9</v>
      </c>
      <c r="J31" s="29">
        <v>-125.9</v>
      </c>
      <c r="K31" s="29">
        <v>-125.9</v>
      </c>
      <c r="L31" s="29">
        <v>-1006.3</v>
      </c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>
        <v>-1006.3</v>
      </c>
    </row>
    <row r="32" spans="2:33" x14ac:dyDescent="0.3">
      <c r="B32" s="42" t="s">
        <v>62</v>
      </c>
      <c r="C32" s="29">
        <v>-80.900000000000006</v>
      </c>
      <c r="D32" s="29">
        <v>-80.900000000000006</v>
      </c>
      <c r="E32" s="29">
        <v>-80.900000000000006</v>
      </c>
      <c r="F32" s="29">
        <v>-21</v>
      </c>
      <c r="G32" s="29">
        <v>-14</v>
      </c>
      <c r="H32" s="29">
        <v>-80.900000000000006</v>
      </c>
      <c r="I32" s="29">
        <v>-80.900000000000006</v>
      </c>
      <c r="J32" s="29">
        <v>-80.900000000000006</v>
      </c>
      <c r="K32" s="29">
        <v>-80.900000000000006</v>
      </c>
      <c r="L32" s="29">
        <v>-601.29999999999995</v>
      </c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>
        <v>-601.29999999999995</v>
      </c>
    </row>
    <row r="33" spans="2:33" x14ac:dyDescent="0.3">
      <c r="B33" s="42" t="s">
        <v>60</v>
      </c>
      <c r="C33" s="29">
        <v>-45</v>
      </c>
      <c r="D33" s="29">
        <v>-45</v>
      </c>
      <c r="E33" s="29">
        <v>-45</v>
      </c>
      <c r="F33" s="29">
        <v>-45</v>
      </c>
      <c r="G33" s="29">
        <v>-45</v>
      </c>
      <c r="H33" s="29">
        <v>-45</v>
      </c>
      <c r="I33" s="29">
        <v>-45</v>
      </c>
      <c r="J33" s="29">
        <v>-45</v>
      </c>
      <c r="K33" s="29">
        <v>-45</v>
      </c>
      <c r="L33" s="29">
        <v>-405</v>
      </c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>
        <v>-405</v>
      </c>
    </row>
    <row r="34" spans="2:33" x14ac:dyDescent="0.3">
      <c r="B34" s="42" t="s">
        <v>124</v>
      </c>
      <c r="C34" s="29"/>
      <c r="D34" s="29"/>
      <c r="E34" s="29"/>
      <c r="F34" s="29">
        <v>-71.75</v>
      </c>
      <c r="G34" s="29"/>
      <c r="H34" s="29"/>
      <c r="I34" s="29"/>
      <c r="J34" s="29"/>
      <c r="K34" s="29"/>
      <c r="L34" s="29">
        <v>-71.75</v>
      </c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>
        <v>-71.75</v>
      </c>
    </row>
    <row r="35" spans="2:33" x14ac:dyDescent="0.3">
      <c r="B35" s="42" t="s">
        <v>129</v>
      </c>
      <c r="C35" s="29"/>
      <c r="D35" s="29"/>
      <c r="E35" s="29"/>
      <c r="F35" s="29">
        <v>-71.75</v>
      </c>
      <c r="G35" s="29"/>
      <c r="H35" s="29"/>
      <c r="I35" s="29"/>
      <c r="J35" s="29"/>
      <c r="K35" s="29"/>
      <c r="L35" s="29">
        <v>-71.75</v>
      </c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>
        <v>-71.75</v>
      </c>
    </row>
    <row r="36" spans="2:33" x14ac:dyDescent="0.3">
      <c r="B36" s="42" t="s">
        <v>135</v>
      </c>
      <c r="C36" s="29"/>
      <c r="D36" s="29"/>
      <c r="E36" s="29"/>
      <c r="F36" s="29">
        <v>-89.56</v>
      </c>
      <c r="G36" s="29"/>
      <c r="H36" s="29"/>
      <c r="I36" s="29"/>
      <c r="J36" s="29"/>
      <c r="K36" s="29"/>
      <c r="L36" s="29">
        <v>-89.56</v>
      </c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>
        <v>-89.56</v>
      </c>
    </row>
    <row r="37" spans="2:33" x14ac:dyDescent="0.3">
      <c r="B37" s="42" t="s">
        <v>137</v>
      </c>
      <c r="C37" s="29"/>
      <c r="D37" s="29"/>
      <c r="E37" s="29"/>
      <c r="F37" s="29">
        <v>-89.56</v>
      </c>
      <c r="G37" s="29"/>
      <c r="H37" s="29"/>
      <c r="I37" s="29"/>
      <c r="J37" s="29"/>
      <c r="K37" s="29"/>
      <c r="L37" s="29">
        <v>-89.56</v>
      </c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>
        <v>-89.56</v>
      </c>
    </row>
    <row r="38" spans="2:33" x14ac:dyDescent="0.3">
      <c r="B38" s="42" t="s">
        <v>107</v>
      </c>
      <c r="C38" s="29">
        <v>-90</v>
      </c>
      <c r="D38" s="29">
        <v>-90</v>
      </c>
      <c r="E38" s="29"/>
      <c r="F38" s="29"/>
      <c r="G38" s="29">
        <v>-300</v>
      </c>
      <c r="H38" s="29"/>
      <c r="I38" s="29"/>
      <c r="J38" s="29"/>
      <c r="K38" s="29"/>
      <c r="L38" s="29">
        <v>-480</v>
      </c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>
        <v>-480</v>
      </c>
    </row>
    <row r="39" spans="2:33" x14ac:dyDescent="0.3">
      <c r="B39" s="42" t="s">
        <v>113</v>
      </c>
      <c r="C39" s="29">
        <v>-90</v>
      </c>
      <c r="D39" s="29">
        <v>-90</v>
      </c>
      <c r="E39" s="29"/>
      <c r="F39" s="29"/>
      <c r="G39" s="29">
        <v>-300</v>
      </c>
      <c r="H39" s="29"/>
      <c r="I39" s="29"/>
      <c r="J39" s="29"/>
      <c r="K39" s="29"/>
      <c r="L39" s="29">
        <v>-480</v>
      </c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>
        <v>-480</v>
      </c>
    </row>
    <row r="40" spans="2:33" x14ac:dyDescent="0.3">
      <c r="B40" s="42" t="s">
        <v>41</v>
      </c>
      <c r="C40" s="29">
        <v>-250</v>
      </c>
      <c r="D40" s="29">
        <v>-250</v>
      </c>
      <c r="E40" s="29">
        <v>-250</v>
      </c>
      <c r="F40" s="29">
        <v>-276.89999999999998</v>
      </c>
      <c r="G40" s="29">
        <v>-250</v>
      </c>
      <c r="H40" s="29">
        <v>-250</v>
      </c>
      <c r="I40" s="29">
        <v>-250</v>
      </c>
      <c r="J40" s="29">
        <v>-250</v>
      </c>
      <c r="K40" s="29">
        <v>-250</v>
      </c>
      <c r="L40" s="29">
        <v>-2276.9</v>
      </c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>
        <v>-2276.9</v>
      </c>
    </row>
    <row r="41" spans="2:33" x14ac:dyDescent="0.3">
      <c r="B41" s="42" t="s">
        <v>47</v>
      </c>
      <c r="C41" s="29">
        <v>-250</v>
      </c>
      <c r="D41" s="29">
        <v>-250</v>
      </c>
      <c r="E41" s="29">
        <v>-250</v>
      </c>
      <c r="F41" s="29">
        <v>-250</v>
      </c>
      <c r="G41" s="29">
        <v>-250</v>
      </c>
      <c r="H41" s="29">
        <v>-250</v>
      </c>
      <c r="I41" s="29">
        <v>-250</v>
      </c>
      <c r="J41" s="29">
        <v>-250</v>
      </c>
      <c r="K41" s="29">
        <v>-250</v>
      </c>
      <c r="L41" s="29">
        <v>-2250</v>
      </c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>
        <v>-2250</v>
      </c>
    </row>
    <row r="42" spans="2:33" x14ac:dyDescent="0.3">
      <c r="B42" s="42" t="s">
        <v>51</v>
      </c>
      <c r="C42" s="29"/>
      <c r="D42" s="29"/>
      <c r="E42" s="29"/>
      <c r="F42" s="29">
        <v>-26.9</v>
      </c>
      <c r="G42" s="29"/>
      <c r="H42" s="29"/>
      <c r="I42" s="29"/>
      <c r="J42" s="29"/>
      <c r="K42" s="29"/>
      <c r="L42" s="29">
        <v>-26.9</v>
      </c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>
        <v>-26.9</v>
      </c>
    </row>
    <row r="43" spans="2:33" x14ac:dyDescent="0.3">
      <c r="B43" s="42" t="s">
        <v>84</v>
      </c>
      <c r="C43" s="29"/>
      <c r="D43" s="29">
        <v>-60</v>
      </c>
      <c r="E43" s="29"/>
      <c r="F43" s="29">
        <v>-257.64</v>
      </c>
      <c r="G43" s="29"/>
      <c r="H43" s="29"/>
      <c r="I43" s="29"/>
      <c r="J43" s="29"/>
      <c r="K43" s="29"/>
      <c r="L43" s="29">
        <v>-317.64</v>
      </c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>
        <v>-317.64</v>
      </c>
    </row>
    <row r="44" spans="2:33" x14ac:dyDescent="0.3">
      <c r="B44" s="42" t="s">
        <v>87</v>
      </c>
      <c r="C44" s="29"/>
      <c r="D44" s="29">
        <v>-60</v>
      </c>
      <c r="E44" s="29"/>
      <c r="F44" s="29">
        <v>-257.64</v>
      </c>
      <c r="G44" s="29"/>
      <c r="H44" s="29"/>
      <c r="I44" s="29"/>
      <c r="J44" s="29"/>
      <c r="K44" s="29"/>
      <c r="L44" s="29">
        <v>-317.64</v>
      </c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>
        <v>-317.64</v>
      </c>
    </row>
    <row r="45" spans="2:33" x14ac:dyDescent="0.3">
      <c r="B45" s="42" t="s">
        <v>71</v>
      </c>
      <c r="C45" s="29">
        <v>-150</v>
      </c>
      <c r="D45" s="29">
        <v>-150</v>
      </c>
      <c r="E45" s="29">
        <v>-150</v>
      </c>
      <c r="F45" s="29">
        <v>-150</v>
      </c>
      <c r="G45" s="29">
        <v>-150</v>
      </c>
      <c r="H45" s="29">
        <v>-150</v>
      </c>
      <c r="I45" s="29">
        <v>-150</v>
      </c>
      <c r="J45" s="29">
        <v>-150</v>
      </c>
      <c r="K45" s="29">
        <v>-150</v>
      </c>
      <c r="L45" s="29">
        <v>-1350</v>
      </c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>
        <v>-1350</v>
      </c>
    </row>
    <row r="46" spans="2:33" x14ac:dyDescent="0.3">
      <c r="B46" s="42" t="s">
        <v>72</v>
      </c>
      <c r="C46" s="29">
        <v>-150</v>
      </c>
      <c r="D46" s="29">
        <v>-150</v>
      </c>
      <c r="E46" s="29">
        <v>-150</v>
      </c>
      <c r="F46" s="29">
        <v>-150</v>
      </c>
      <c r="G46" s="29">
        <v>-150</v>
      </c>
      <c r="H46" s="29">
        <v>-150</v>
      </c>
      <c r="I46" s="29">
        <v>-150</v>
      </c>
      <c r="J46" s="29">
        <v>-150</v>
      </c>
      <c r="K46" s="29">
        <v>-150</v>
      </c>
      <c r="L46" s="29">
        <v>-1350</v>
      </c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>
        <v>-1350</v>
      </c>
    </row>
    <row r="47" spans="2:33" x14ac:dyDescent="0.3">
      <c r="B47" s="42" t="s">
        <v>141</v>
      </c>
      <c r="C47" s="29">
        <v>-1984.38</v>
      </c>
      <c r="D47" s="29">
        <v>-1249.3800000000001</v>
      </c>
      <c r="E47" s="29">
        <v>-783.58</v>
      </c>
      <c r="F47" s="29">
        <v>-1490.84</v>
      </c>
      <c r="G47" s="29">
        <v>-5989.6600000000008</v>
      </c>
      <c r="H47" s="29">
        <v>-1954.38</v>
      </c>
      <c r="I47" s="29">
        <v>-1954.38</v>
      </c>
      <c r="J47" s="29">
        <v>-783.58</v>
      </c>
      <c r="K47" s="29">
        <v>-783.58</v>
      </c>
      <c r="L47" s="29">
        <v>-16973.760000000002</v>
      </c>
      <c r="M47" s="29"/>
      <c r="N47" s="29"/>
      <c r="O47" s="29">
        <v>-391</v>
      </c>
      <c r="P47" s="29">
        <v>-391</v>
      </c>
      <c r="Q47" s="29">
        <v>-391</v>
      </c>
      <c r="R47" s="29">
        <v>-391</v>
      </c>
      <c r="S47" s="29">
        <v>-391</v>
      </c>
      <c r="T47" s="29">
        <v>-391</v>
      </c>
      <c r="U47" s="29">
        <v>-391</v>
      </c>
      <c r="V47" s="29">
        <v>-391</v>
      </c>
      <c r="W47" s="29">
        <v>-391</v>
      </c>
      <c r="X47" s="29">
        <v>-391</v>
      </c>
      <c r="Y47" s="29">
        <v>-391</v>
      </c>
      <c r="Z47" s="29">
        <v>-391</v>
      </c>
      <c r="AA47" s="29">
        <v>-4692</v>
      </c>
      <c r="AB47" s="29">
        <v>-391</v>
      </c>
      <c r="AC47" s="29">
        <v>-391</v>
      </c>
      <c r="AD47" s="29">
        <v>-391</v>
      </c>
      <c r="AE47" s="29">
        <v>-391</v>
      </c>
      <c r="AF47" s="29">
        <v>-1564</v>
      </c>
      <c r="AG47" s="29">
        <v>-23229.760000000002</v>
      </c>
    </row>
    <row r="48" spans="2:33" x14ac:dyDescent="0.3">
      <c r="B48" s="42" t="s">
        <v>18</v>
      </c>
      <c r="C48" s="29"/>
      <c r="D48" s="29">
        <v>1025</v>
      </c>
      <c r="E48" s="29"/>
      <c r="F48" s="29">
        <v>1000</v>
      </c>
      <c r="G48" s="29"/>
      <c r="H48" s="29"/>
      <c r="I48" s="29"/>
      <c r="J48" s="29"/>
      <c r="K48" s="29"/>
      <c r="L48" s="29">
        <v>2025</v>
      </c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>
        <v>2025</v>
      </c>
    </row>
    <row r="49" spans="2:33" x14ac:dyDescent="0.3">
      <c r="B49" s="70" t="s">
        <v>107</v>
      </c>
      <c r="C49" s="69"/>
      <c r="D49" s="69"/>
      <c r="E49" s="69"/>
      <c r="F49" s="69">
        <v>1000</v>
      </c>
      <c r="G49" s="69"/>
      <c r="H49" s="69"/>
      <c r="I49" s="69"/>
      <c r="J49" s="69"/>
      <c r="K49" s="69"/>
      <c r="L49" s="69">
        <v>1000</v>
      </c>
      <c r="M49" s="69"/>
      <c r="N49" s="69"/>
      <c r="O49" s="69"/>
      <c r="P49" s="69"/>
      <c r="Q49" s="69"/>
      <c r="R49" s="69"/>
      <c r="S49" s="69"/>
      <c r="T49" s="69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>
        <v>1000</v>
      </c>
    </row>
    <row r="50" spans="2:33" x14ac:dyDescent="0.3">
      <c r="B50" s="71" t="s">
        <v>306</v>
      </c>
      <c r="C50" s="69"/>
      <c r="D50" s="69"/>
      <c r="E50" s="69"/>
      <c r="F50" s="69">
        <v>1000</v>
      </c>
      <c r="G50" s="69"/>
      <c r="H50" s="69"/>
      <c r="I50" s="69"/>
      <c r="J50" s="69"/>
      <c r="K50" s="69"/>
      <c r="L50" s="69">
        <v>1000</v>
      </c>
      <c r="M50" s="69"/>
      <c r="N50" s="69"/>
      <c r="O50" s="69"/>
      <c r="P50" s="69"/>
      <c r="Q50" s="69"/>
      <c r="R50" s="69"/>
      <c r="S50" s="69"/>
      <c r="T50" s="69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>
        <v>1000</v>
      </c>
    </row>
    <row r="51" spans="2:33" x14ac:dyDescent="0.3">
      <c r="B51" s="42" t="s">
        <v>142</v>
      </c>
      <c r="C51" s="29"/>
      <c r="D51" s="29">
        <v>1025</v>
      </c>
      <c r="E51" s="29"/>
      <c r="F51" s="29"/>
      <c r="G51" s="29"/>
      <c r="H51" s="29"/>
      <c r="I51" s="29"/>
      <c r="J51" s="29"/>
      <c r="K51" s="29"/>
      <c r="L51" s="29">
        <v>1025</v>
      </c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>
        <v>1025</v>
      </c>
    </row>
    <row r="52" spans="2:33" x14ac:dyDescent="0.3">
      <c r="B52" s="42" t="s">
        <v>145</v>
      </c>
      <c r="C52" s="29"/>
      <c r="D52" s="29">
        <v>1025</v>
      </c>
      <c r="E52" s="29"/>
      <c r="F52" s="29"/>
      <c r="G52" s="29"/>
      <c r="H52" s="29"/>
      <c r="I52" s="29"/>
      <c r="J52" s="29"/>
      <c r="K52" s="29"/>
      <c r="L52" s="29">
        <v>1025</v>
      </c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>
        <v>1025</v>
      </c>
    </row>
    <row r="53" spans="2:33" x14ac:dyDescent="0.3">
      <c r="B53" s="42" t="s">
        <v>40</v>
      </c>
      <c r="C53" s="29">
        <v>-1984.38</v>
      </c>
      <c r="D53" s="29">
        <v>-2274.38</v>
      </c>
      <c r="E53" s="29">
        <v>-783.58</v>
      </c>
      <c r="F53" s="29">
        <v>-2490.84</v>
      </c>
      <c r="G53" s="29">
        <v>-5989.6600000000008</v>
      </c>
      <c r="H53" s="29">
        <v>-1954.38</v>
      </c>
      <c r="I53" s="29">
        <v>-1954.38</v>
      </c>
      <c r="J53" s="29">
        <v>-783.58</v>
      </c>
      <c r="K53" s="29">
        <v>-783.58</v>
      </c>
      <c r="L53" s="29">
        <v>-18998.760000000002</v>
      </c>
      <c r="M53" s="29"/>
      <c r="N53" s="29"/>
      <c r="O53" s="29">
        <v>-391</v>
      </c>
      <c r="P53" s="29">
        <v>-391</v>
      </c>
      <c r="Q53" s="29">
        <v>-391</v>
      </c>
      <c r="R53" s="29">
        <v>-391</v>
      </c>
      <c r="S53" s="29">
        <v>-391</v>
      </c>
      <c r="T53" s="29">
        <v>-391</v>
      </c>
      <c r="U53" s="29">
        <v>-391</v>
      </c>
      <c r="V53" s="29">
        <v>-391</v>
      </c>
      <c r="W53" s="29">
        <v>-391</v>
      </c>
      <c r="X53" s="29">
        <v>-391</v>
      </c>
      <c r="Y53" s="29">
        <v>-391</v>
      </c>
      <c r="Z53" s="29">
        <v>-391</v>
      </c>
      <c r="AA53" s="29">
        <v>-4692</v>
      </c>
      <c r="AB53" s="29">
        <v>-391</v>
      </c>
      <c r="AC53" s="29">
        <v>-391</v>
      </c>
      <c r="AD53" s="29">
        <v>-391</v>
      </c>
      <c r="AE53" s="29">
        <v>-391</v>
      </c>
      <c r="AF53" s="29">
        <v>-1564</v>
      </c>
      <c r="AG53" s="29">
        <v>-25254.760000000002</v>
      </c>
    </row>
    <row r="54" spans="2:33" x14ac:dyDescent="0.3">
      <c r="B54" s="42" t="s">
        <v>165</v>
      </c>
      <c r="C54" s="29">
        <v>-579.68000000000006</v>
      </c>
      <c r="D54" s="29">
        <v>-1329.68</v>
      </c>
      <c r="E54" s="29">
        <v>-579.68000000000006</v>
      </c>
      <c r="F54" s="29">
        <v>-537</v>
      </c>
      <c r="G54" s="29">
        <v>-1977.68</v>
      </c>
      <c r="H54" s="29">
        <v>-1009.6800000000001</v>
      </c>
      <c r="I54" s="29">
        <v>-1009.6800000000001</v>
      </c>
      <c r="J54" s="29">
        <v>-579.68000000000006</v>
      </c>
      <c r="K54" s="29">
        <v>-579.68000000000006</v>
      </c>
      <c r="L54" s="29">
        <v>-8182.4400000000014</v>
      </c>
      <c r="M54" s="29"/>
      <c r="N54" s="29"/>
      <c r="O54" s="29">
        <v>-391</v>
      </c>
      <c r="P54" s="29">
        <v>-391</v>
      </c>
      <c r="Q54" s="29">
        <v>-391</v>
      </c>
      <c r="R54" s="29">
        <v>-391</v>
      </c>
      <c r="S54" s="29">
        <v>-391</v>
      </c>
      <c r="T54" s="29">
        <v>-391</v>
      </c>
      <c r="U54" s="29">
        <v>-391</v>
      </c>
      <c r="V54" s="29">
        <v>-391</v>
      </c>
      <c r="W54" s="29">
        <v>-391</v>
      </c>
      <c r="X54" s="29">
        <v>-391</v>
      </c>
      <c r="Y54" s="29">
        <v>-391</v>
      </c>
      <c r="Z54" s="29">
        <v>-391</v>
      </c>
      <c r="AA54" s="29">
        <v>-4692</v>
      </c>
      <c r="AB54" s="29">
        <v>-391</v>
      </c>
      <c r="AC54" s="29">
        <v>-391</v>
      </c>
      <c r="AD54" s="29">
        <v>-391</v>
      </c>
      <c r="AE54" s="29">
        <v>-391</v>
      </c>
      <c r="AF54" s="29">
        <v>-1564</v>
      </c>
      <c r="AG54" s="29">
        <v>-14438.440000000002</v>
      </c>
    </row>
    <row r="55" spans="2:33" x14ac:dyDescent="0.3">
      <c r="B55" s="42" t="s">
        <v>166</v>
      </c>
      <c r="C55" s="29">
        <v>-579.68000000000006</v>
      </c>
      <c r="D55" s="29">
        <v>-579.68000000000006</v>
      </c>
      <c r="E55" s="29">
        <v>-579.68000000000006</v>
      </c>
      <c r="F55" s="29"/>
      <c r="G55" s="29">
        <v>-1579.68</v>
      </c>
      <c r="H55" s="29">
        <v>-579.68000000000006</v>
      </c>
      <c r="I55" s="29">
        <v>-579.68000000000006</v>
      </c>
      <c r="J55" s="29">
        <v>-579.68000000000006</v>
      </c>
      <c r="K55" s="29">
        <v>-579.68000000000006</v>
      </c>
      <c r="L55" s="29">
        <v>-5637.4400000000014</v>
      </c>
      <c r="M55" s="29"/>
      <c r="N55" s="29"/>
      <c r="O55" s="29">
        <v>-391</v>
      </c>
      <c r="P55" s="29">
        <v>-391</v>
      </c>
      <c r="Q55" s="29">
        <v>-391</v>
      </c>
      <c r="R55" s="29">
        <v>-391</v>
      </c>
      <c r="S55" s="29">
        <v>-391</v>
      </c>
      <c r="T55" s="29">
        <v>-391</v>
      </c>
      <c r="U55" s="29">
        <v>-391</v>
      </c>
      <c r="V55" s="29">
        <v>-391</v>
      </c>
      <c r="W55" s="29">
        <v>-391</v>
      </c>
      <c r="X55" s="29">
        <v>-391</v>
      </c>
      <c r="Y55" s="29">
        <v>-391</v>
      </c>
      <c r="Z55" s="29">
        <v>-391</v>
      </c>
      <c r="AA55" s="29">
        <v>-4692</v>
      </c>
      <c r="AB55" s="29">
        <v>-391</v>
      </c>
      <c r="AC55" s="29">
        <v>-391</v>
      </c>
      <c r="AD55" s="29">
        <v>-391</v>
      </c>
      <c r="AE55" s="29">
        <v>-391</v>
      </c>
      <c r="AF55" s="29">
        <v>-1564</v>
      </c>
      <c r="AG55" s="29">
        <v>-11893.440000000002</v>
      </c>
    </row>
    <row r="56" spans="2:33" x14ac:dyDescent="0.3">
      <c r="B56" s="42" t="s">
        <v>169</v>
      </c>
      <c r="C56" s="29"/>
      <c r="D56" s="29">
        <v>-750</v>
      </c>
      <c r="E56" s="29"/>
      <c r="F56" s="29">
        <v>-537</v>
      </c>
      <c r="G56" s="29">
        <v>-398</v>
      </c>
      <c r="H56" s="29">
        <v>-430</v>
      </c>
      <c r="I56" s="29">
        <v>-430</v>
      </c>
      <c r="J56" s="29"/>
      <c r="K56" s="29"/>
      <c r="L56" s="29">
        <v>-2545</v>
      </c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>
        <v>-2545</v>
      </c>
    </row>
    <row r="57" spans="2:33" x14ac:dyDescent="0.3">
      <c r="B57" s="42" t="s">
        <v>175</v>
      </c>
      <c r="C57" s="29">
        <v>-460</v>
      </c>
      <c r="D57" s="29"/>
      <c r="E57" s="29"/>
      <c r="F57" s="29"/>
      <c r="G57" s="29"/>
      <c r="H57" s="29"/>
      <c r="I57" s="29"/>
      <c r="J57" s="29"/>
      <c r="K57" s="29"/>
      <c r="L57" s="29">
        <v>-460</v>
      </c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>
        <v>-460</v>
      </c>
    </row>
    <row r="58" spans="2:33" x14ac:dyDescent="0.3">
      <c r="B58" s="42" t="s">
        <v>177</v>
      </c>
      <c r="C58" s="29">
        <v>-460</v>
      </c>
      <c r="D58" s="29"/>
      <c r="E58" s="29"/>
      <c r="F58" s="29"/>
      <c r="G58" s="29"/>
      <c r="H58" s="29"/>
      <c r="I58" s="29"/>
      <c r="J58" s="29"/>
      <c r="K58" s="29"/>
      <c r="L58" s="29">
        <v>-460</v>
      </c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>
        <v>-460</v>
      </c>
    </row>
    <row r="59" spans="2:33" x14ac:dyDescent="0.3">
      <c r="B59" s="70" t="s">
        <v>107</v>
      </c>
      <c r="C59" s="69">
        <v>-807.69999999999993</v>
      </c>
      <c r="D59" s="69">
        <v>-807.69999999999993</v>
      </c>
      <c r="E59" s="69">
        <v>-66.900000000000006</v>
      </c>
      <c r="F59" s="69">
        <v>-1816.84</v>
      </c>
      <c r="G59" s="69">
        <v>-3874.98</v>
      </c>
      <c r="H59" s="69">
        <v>-807.69999999999993</v>
      </c>
      <c r="I59" s="69">
        <v>-807.69999999999993</v>
      </c>
      <c r="J59" s="69">
        <v>-66.900000000000006</v>
      </c>
      <c r="K59" s="69">
        <v>-66.900000000000006</v>
      </c>
      <c r="L59" s="69">
        <v>-9123.32</v>
      </c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>
        <v>-9123.32</v>
      </c>
    </row>
    <row r="60" spans="2:33" x14ac:dyDescent="0.3">
      <c r="B60" s="71" t="s">
        <v>264</v>
      </c>
      <c r="C60" s="69">
        <v>-217</v>
      </c>
      <c r="D60" s="69">
        <v>-217</v>
      </c>
      <c r="E60" s="69"/>
      <c r="F60" s="69">
        <v>-217</v>
      </c>
      <c r="G60" s="69">
        <v>-217</v>
      </c>
      <c r="H60" s="69">
        <v>-217</v>
      </c>
      <c r="I60" s="69">
        <v>-217</v>
      </c>
      <c r="J60" s="69"/>
      <c r="K60" s="69"/>
      <c r="L60" s="69">
        <v>-1302</v>
      </c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>
        <v>-1302</v>
      </c>
    </row>
    <row r="61" spans="2:33" x14ac:dyDescent="0.3">
      <c r="B61" s="71" t="s">
        <v>265</v>
      </c>
      <c r="C61" s="69">
        <v>-67.8</v>
      </c>
      <c r="D61" s="69">
        <v>-67.8</v>
      </c>
      <c r="E61" s="69"/>
      <c r="F61" s="69">
        <v>-67.8</v>
      </c>
      <c r="G61" s="69">
        <v>-67.8</v>
      </c>
      <c r="H61" s="69">
        <v>-67.8</v>
      </c>
      <c r="I61" s="69">
        <v>-67.8</v>
      </c>
      <c r="J61" s="69"/>
      <c r="K61" s="69"/>
      <c r="L61" s="69">
        <v>-406.8</v>
      </c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>
        <v>-406.8</v>
      </c>
    </row>
    <row r="62" spans="2:33" x14ac:dyDescent="0.3">
      <c r="B62" s="71" t="s">
        <v>267</v>
      </c>
      <c r="C62" s="69">
        <v>-50</v>
      </c>
      <c r="D62" s="69">
        <v>-50</v>
      </c>
      <c r="E62" s="69"/>
      <c r="F62" s="69">
        <v>-50</v>
      </c>
      <c r="G62" s="69">
        <v>-50</v>
      </c>
      <c r="H62" s="69">
        <v>-50</v>
      </c>
      <c r="I62" s="69">
        <v>-50</v>
      </c>
      <c r="J62" s="69"/>
      <c r="K62" s="69"/>
      <c r="L62" s="69">
        <v>-300</v>
      </c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>
        <v>-300</v>
      </c>
    </row>
    <row r="63" spans="2:33" x14ac:dyDescent="0.3">
      <c r="B63" s="71" t="s">
        <v>271</v>
      </c>
      <c r="C63" s="69">
        <v>-270</v>
      </c>
      <c r="D63" s="69">
        <v>-270</v>
      </c>
      <c r="E63" s="69"/>
      <c r="F63" s="69">
        <v>-270</v>
      </c>
      <c r="G63" s="69">
        <v>-270</v>
      </c>
      <c r="H63" s="69">
        <v>-270</v>
      </c>
      <c r="I63" s="69">
        <v>-270</v>
      </c>
      <c r="J63" s="69"/>
      <c r="K63" s="69"/>
      <c r="L63" s="69">
        <v>-1620</v>
      </c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>
        <v>-1620</v>
      </c>
    </row>
    <row r="64" spans="2:33" x14ac:dyDescent="0.3">
      <c r="B64" s="71" t="s">
        <v>269</v>
      </c>
      <c r="C64" s="69">
        <v>-136</v>
      </c>
      <c r="D64" s="69">
        <v>-136</v>
      </c>
      <c r="E64" s="69"/>
      <c r="F64" s="69">
        <v>-136</v>
      </c>
      <c r="G64" s="69">
        <v>-136</v>
      </c>
      <c r="H64" s="69">
        <v>-136</v>
      </c>
      <c r="I64" s="69">
        <v>-136</v>
      </c>
      <c r="J64" s="69"/>
      <c r="K64" s="69"/>
      <c r="L64" s="69">
        <v>-816</v>
      </c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>
        <v>-816</v>
      </c>
    </row>
    <row r="65" spans="2:33" x14ac:dyDescent="0.3">
      <c r="B65" s="71" t="s">
        <v>270</v>
      </c>
      <c r="C65" s="69">
        <v>-66.900000000000006</v>
      </c>
      <c r="D65" s="69">
        <v>-66.900000000000006</v>
      </c>
      <c r="E65" s="69">
        <v>-66.900000000000006</v>
      </c>
      <c r="F65" s="69">
        <v>0</v>
      </c>
      <c r="G65" s="69">
        <v>-66.900000000000006</v>
      </c>
      <c r="H65" s="69">
        <v>-66.900000000000006</v>
      </c>
      <c r="I65" s="69">
        <v>-66.900000000000006</v>
      </c>
      <c r="J65" s="69">
        <v>-66.900000000000006</v>
      </c>
      <c r="K65" s="69">
        <v>-66.900000000000006</v>
      </c>
      <c r="L65" s="69">
        <v>-535.19999999999993</v>
      </c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>
        <v>-535.19999999999993</v>
      </c>
    </row>
    <row r="66" spans="2:33" x14ac:dyDescent="0.3">
      <c r="B66" s="71" t="s">
        <v>272</v>
      </c>
      <c r="C66" s="69"/>
      <c r="D66" s="69"/>
      <c r="E66" s="69"/>
      <c r="F66" s="69">
        <v>-75.709999999999994</v>
      </c>
      <c r="G66" s="69"/>
      <c r="H66" s="69"/>
      <c r="I66" s="69"/>
      <c r="J66" s="69"/>
      <c r="K66" s="69"/>
      <c r="L66" s="69">
        <v>-75.709999999999994</v>
      </c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>
        <v>-75.709999999999994</v>
      </c>
    </row>
    <row r="67" spans="2:33" x14ac:dyDescent="0.3">
      <c r="B67" s="71" t="s">
        <v>273</v>
      </c>
      <c r="C67" s="69"/>
      <c r="D67" s="69"/>
      <c r="E67" s="69"/>
      <c r="F67" s="69">
        <v>-67.28</v>
      </c>
      <c r="G67" s="69">
        <v>-3067.28</v>
      </c>
      <c r="H67" s="69"/>
      <c r="I67" s="69"/>
      <c r="J67" s="69"/>
      <c r="K67" s="69"/>
      <c r="L67" s="69">
        <v>-3134.5600000000004</v>
      </c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>
        <v>-3134.5600000000004</v>
      </c>
    </row>
    <row r="68" spans="2:33" x14ac:dyDescent="0.3">
      <c r="B68" s="71" t="s">
        <v>274</v>
      </c>
      <c r="C68" s="69"/>
      <c r="D68" s="69"/>
      <c r="E68" s="69"/>
      <c r="F68" s="69">
        <v>-89</v>
      </c>
      <c r="G68" s="69"/>
      <c r="H68" s="69"/>
      <c r="I68" s="69"/>
      <c r="J68" s="69"/>
      <c r="K68" s="69"/>
      <c r="L68" s="69">
        <v>-89</v>
      </c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>
        <v>-89</v>
      </c>
    </row>
    <row r="69" spans="2:33" x14ac:dyDescent="0.3">
      <c r="B69" s="71" t="s">
        <v>275</v>
      </c>
      <c r="C69" s="69"/>
      <c r="D69" s="69"/>
      <c r="E69" s="69"/>
      <c r="F69" s="69">
        <v>-320</v>
      </c>
      <c r="G69" s="69"/>
      <c r="H69" s="69"/>
      <c r="I69" s="69"/>
      <c r="J69" s="69"/>
      <c r="K69" s="69"/>
      <c r="L69" s="69">
        <v>-320</v>
      </c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>
        <v>-320</v>
      </c>
    </row>
    <row r="70" spans="2:33" x14ac:dyDescent="0.3">
      <c r="B70" s="71" t="s">
        <v>276</v>
      </c>
      <c r="C70" s="69"/>
      <c r="D70" s="69"/>
      <c r="E70" s="69"/>
      <c r="F70" s="69">
        <v>-191.05</v>
      </c>
      <c r="G70" s="69"/>
      <c r="H70" s="69"/>
      <c r="I70" s="69"/>
      <c r="J70" s="69"/>
      <c r="K70" s="69"/>
      <c r="L70" s="69">
        <v>-191.05</v>
      </c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>
        <v>-191.05</v>
      </c>
    </row>
    <row r="71" spans="2:33" x14ac:dyDescent="0.3">
      <c r="B71" s="71" t="s">
        <v>277</v>
      </c>
      <c r="C71" s="69"/>
      <c r="D71" s="69"/>
      <c r="E71" s="69"/>
      <c r="F71" s="69">
        <v>-133</v>
      </c>
      <c r="G71" s="69"/>
      <c r="H71" s="69"/>
      <c r="I71" s="69"/>
      <c r="J71" s="69"/>
      <c r="K71" s="69"/>
      <c r="L71" s="69">
        <v>-133</v>
      </c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>
        <v>-133</v>
      </c>
    </row>
    <row r="72" spans="2:33" x14ac:dyDescent="0.3">
      <c r="B72" s="71" t="s">
        <v>278</v>
      </c>
      <c r="C72" s="69"/>
      <c r="D72" s="69"/>
      <c r="E72" s="69"/>
      <c r="F72" s="69">
        <v>-200</v>
      </c>
      <c r="G72" s="69"/>
      <c r="H72" s="69"/>
      <c r="I72" s="69"/>
      <c r="J72" s="69"/>
      <c r="K72" s="69"/>
      <c r="L72" s="69">
        <v>-200</v>
      </c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>
        <v>-200</v>
      </c>
    </row>
    <row r="73" spans="2:33" x14ac:dyDescent="0.3">
      <c r="B73" s="70" t="s">
        <v>91</v>
      </c>
      <c r="C73" s="69">
        <v>-137</v>
      </c>
      <c r="D73" s="69">
        <v>-137</v>
      </c>
      <c r="E73" s="69">
        <v>-137</v>
      </c>
      <c r="F73" s="69">
        <v>-137</v>
      </c>
      <c r="G73" s="69">
        <v>-137</v>
      </c>
      <c r="H73" s="69">
        <v>-137</v>
      </c>
      <c r="I73" s="69">
        <v>-137</v>
      </c>
      <c r="J73" s="69">
        <v>-137</v>
      </c>
      <c r="K73" s="69">
        <v>-137</v>
      </c>
      <c r="L73" s="69">
        <v>-1233</v>
      </c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>
        <v>-1233</v>
      </c>
    </row>
    <row r="74" spans="2:33" x14ac:dyDescent="0.3">
      <c r="B74" s="71" t="s">
        <v>259</v>
      </c>
      <c r="C74" s="69">
        <v>-137</v>
      </c>
      <c r="D74" s="69">
        <v>-137</v>
      </c>
      <c r="E74" s="69">
        <v>-137</v>
      </c>
      <c r="F74" s="69">
        <v>-137</v>
      </c>
      <c r="G74" s="69">
        <v>-137</v>
      </c>
      <c r="H74" s="69">
        <v>-137</v>
      </c>
      <c r="I74" s="69">
        <v>-137</v>
      </c>
      <c r="J74" s="69">
        <v>-137</v>
      </c>
      <c r="K74" s="69">
        <v>-137</v>
      </c>
      <c r="L74" s="69">
        <v>-1233</v>
      </c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>
        <v>-1233</v>
      </c>
    </row>
    <row r="75" spans="2:33" x14ac:dyDescent="0.3">
      <c r="B75" s="42"/>
      <c r="C75" s="69"/>
      <c r="D75" s="69"/>
      <c r="E75" s="69"/>
      <c r="F75" s="69"/>
      <c r="G75" s="69"/>
      <c r="H75" s="69"/>
      <c r="I75" s="69"/>
      <c r="J75" s="69"/>
      <c r="K75" s="69"/>
      <c r="L75" s="69"/>
      <c r="M75" s="69">
        <v>0</v>
      </c>
      <c r="N75" s="69">
        <v>0</v>
      </c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>
        <v>0</v>
      </c>
    </row>
    <row r="76" spans="2:33" x14ac:dyDescent="0.3">
      <c r="B76" s="76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>
        <v>0</v>
      </c>
      <c r="N76" s="69">
        <v>0</v>
      </c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>
        <v>0</v>
      </c>
    </row>
    <row r="77" spans="2:33" x14ac:dyDescent="0.3">
      <c r="B77" s="70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>
        <v>0</v>
      </c>
      <c r="N77" s="69">
        <v>0</v>
      </c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>
        <v>0</v>
      </c>
    </row>
    <row r="78" spans="2:33" x14ac:dyDescent="0.3">
      <c r="B78" s="71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>
        <v>0</v>
      </c>
      <c r="N78" s="69">
        <v>0</v>
      </c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>
        <v>0</v>
      </c>
    </row>
    <row r="79" spans="2:33" x14ac:dyDescent="0.3">
      <c r="B79" s="42" t="s">
        <v>222</v>
      </c>
      <c r="C79" s="29">
        <v>399.71999999999991</v>
      </c>
      <c r="D79" s="29">
        <v>1001.72</v>
      </c>
      <c r="E79" s="29">
        <v>1617.5199999999998</v>
      </c>
      <c r="F79" s="29">
        <v>163.25000000000068</v>
      </c>
      <c r="G79" s="29">
        <v>1251.3399999999997</v>
      </c>
      <c r="H79" s="29">
        <v>446.71999999999991</v>
      </c>
      <c r="I79" s="29">
        <v>446.71999999999991</v>
      </c>
      <c r="J79" s="29">
        <v>1617.5199999999998</v>
      </c>
      <c r="K79" s="29">
        <v>1617.5199999999998</v>
      </c>
      <c r="L79" s="29">
        <v>8562.0299999999952</v>
      </c>
      <c r="M79" s="29">
        <v>0</v>
      </c>
      <c r="N79" s="29">
        <v>0</v>
      </c>
      <c r="O79" s="29">
        <v>-391</v>
      </c>
      <c r="P79" s="29">
        <v>-391</v>
      </c>
      <c r="Q79" s="29">
        <v>-391</v>
      </c>
      <c r="R79" s="29">
        <v>-391</v>
      </c>
      <c r="S79" s="29">
        <v>-391</v>
      </c>
      <c r="T79" s="29">
        <v>-391</v>
      </c>
      <c r="U79" s="29">
        <v>-391</v>
      </c>
      <c r="V79" s="29">
        <v>-391</v>
      </c>
      <c r="W79" s="29">
        <v>-391</v>
      </c>
      <c r="X79" s="29">
        <v>-391</v>
      </c>
      <c r="Y79" s="29">
        <v>-391</v>
      </c>
      <c r="Z79" s="29">
        <v>-391</v>
      </c>
      <c r="AA79" s="29">
        <v>-4692</v>
      </c>
      <c r="AB79" s="29">
        <v>-391</v>
      </c>
      <c r="AC79" s="29">
        <v>-391</v>
      </c>
      <c r="AD79" s="29">
        <v>-391</v>
      </c>
      <c r="AE79" s="29">
        <v>-391</v>
      </c>
      <c r="AF79" s="29">
        <v>-1564</v>
      </c>
      <c r="AG79" s="29">
        <v>2306.0299999999952</v>
      </c>
    </row>
    <row r="80" spans="2:33" x14ac:dyDescent="0.3"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3:30" x14ac:dyDescent="0.3"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3:30" x14ac:dyDescent="0.3"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3:30" x14ac:dyDescent="0.3"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3:30" x14ac:dyDescent="0.3"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3:30" x14ac:dyDescent="0.3"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3:30" x14ac:dyDescent="0.3"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3:30" x14ac:dyDescent="0.3"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</sheetData>
  <sheetProtection sheet="1" objects="1" scenarios="1" pivotTables="0"/>
  <pageMargins left="0.511811024" right="0.511811024" top="0.78740157499999996" bottom="0.78740157499999996" header="0.31496062000000002" footer="0.31496062000000002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855D8-BDDE-48B7-8570-BF32B213212E}">
  <sheetPr codeName="Planilha3"/>
  <dimension ref="A1:W205"/>
  <sheetViews>
    <sheetView showGridLines="0" tabSelected="1" zoomScaleNormal="100" workbookViewId="0">
      <pane ySplit="7" topLeftCell="A68" activePane="bottomLeft" state="frozen"/>
      <selection activeCell="D35" sqref="D35"/>
      <selection pane="bottomLeft" activeCell="I76" sqref="I76"/>
    </sheetView>
  </sheetViews>
  <sheetFormatPr defaultRowHeight="14.4" x14ac:dyDescent="0.3"/>
  <cols>
    <col min="1" max="1" width="2.6640625" customWidth="1"/>
    <col min="2" max="3" width="10.6640625" customWidth="1"/>
    <col min="4" max="4" width="50.6640625" customWidth="1"/>
    <col min="5" max="5" width="17.6640625" customWidth="1"/>
    <col min="6" max="6" width="21.33203125" customWidth="1"/>
    <col min="7" max="7" width="15.6640625" customWidth="1"/>
    <col min="8" max="8" width="9.88671875" customWidth="1"/>
    <col min="9" max="9" width="50.6640625" customWidth="1"/>
    <col min="10" max="10" width="15.5546875" hidden="1" customWidth="1"/>
    <col min="11" max="11" width="9.44140625" hidden="1" customWidth="1"/>
    <col min="12" max="12" width="13.44140625" hidden="1" customWidth="1"/>
    <col min="13" max="13" width="17" hidden="1" customWidth="1"/>
    <col min="14" max="14" width="9.109375" hidden="1" customWidth="1"/>
    <col min="15" max="15" width="12.33203125" hidden="1" customWidth="1"/>
    <col min="16" max="16" width="10.44140625" hidden="1" customWidth="1"/>
    <col min="17" max="17" width="17.5546875" hidden="1" customWidth="1"/>
    <col min="18" max="18" width="15" hidden="1" customWidth="1"/>
    <col min="19" max="20" width="9.109375" hidden="1" customWidth="1"/>
    <col min="21" max="21" width="13.5546875" hidden="1" customWidth="1"/>
    <col min="22" max="22" width="17.5546875" hidden="1" customWidth="1"/>
    <col min="23" max="23" width="9.109375" hidden="1" customWidth="1"/>
  </cols>
  <sheetData>
    <row r="1" spans="1:23" ht="45.75" customHeight="1" x14ac:dyDescent="0.3">
      <c r="A1" s="12">
        <v>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"/>
      <c r="R1" s="1"/>
      <c r="S1" s="1"/>
      <c r="T1" s="1"/>
      <c r="U1" s="1"/>
      <c r="V1" s="1"/>
      <c r="W1" s="1"/>
    </row>
    <row r="2" spans="1:23" hidden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"/>
      <c r="R2" s="1"/>
      <c r="S2" s="1"/>
      <c r="T2" s="1"/>
      <c r="U2" s="1"/>
      <c r="V2" s="1"/>
      <c r="W2" s="1"/>
    </row>
    <row r="3" spans="1:23" ht="25.5" hidden="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"/>
      <c r="R3" s="1"/>
      <c r="S3" s="1"/>
      <c r="T3" s="1"/>
      <c r="U3" s="1"/>
      <c r="V3" s="1"/>
      <c r="W3" s="1"/>
    </row>
    <row r="4" spans="1:23" ht="25.5" customHeight="1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"/>
      <c r="R4" s="1"/>
      <c r="S4" s="1"/>
      <c r="T4" s="1"/>
      <c r="U4" s="1"/>
      <c r="V4" s="1"/>
      <c r="W4" s="1"/>
    </row>
    <row r="5" spans="1:23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"/>
      <c r="R5" s="1"/>
      <c r="S5" s="1"/>
      <c r="T5" s="1"/>
      <c r="U5" s="1"/>
      <c r="V5" s="1"/>
      <c r="W5" s="1"/>
    </row>
    <row r="6" spans="1:23" x14ac:dyDescent="0.3">
      <c r="A6" s="12"/>
      <c r="B6" s="56" t="s">
        <v>181</v>
      </c>
      <c r="C6" s="12"/>
      <c r="D6" s="12"/>
      <c r="E6" s="12"/>
      <c r="F6" s="12"/>
      <c r="G6" s="12"/>
      <c r="H6" s="12"/>
      <c r="I6" s="12"/>
      <c r="J6" s="52" t="s">
        <v>182</v>
      </c>
      <c r="K6" s="52" t="s">
        <v>182</v>
      </c>
      <c r="L6" s="52" t="s">
        <v>182</v>
      </c>
      <c r="M6" s="52" t="s">
        <v>182</v>
      </c>
      <c r="N6" s="52" t="s">
        <v>182</v>
      </c>
      <c r="O6" s="52" t="s">
        <v>182</v>
      </c>
      <c r="P6" s="52" t="s">
        <v>182</v>
      </c>
      <c r="Q6" s="53" t="s">
        <v>182</v>
      </c>
      <c r="R6" s="53" t="s">
        <v>182</v>
      </c>
      <c r="S6" s="53" t="s">
        <v>182</v>
      </c>
      <c r="T6" s="53" t="s">
        <v>182</v>
      </c>
      <c r="U6" s="53" t="s">
        <v>182</v>
      </c>
      <c r="V6" s="53" t="s">
        <v>182</v>
      </c>
      <c r="W6" s="53" t="s">
        <v>182</v>
      </c>
    </row>
    <row r="7" spans="1:23" x14ac:dyDescent="0.3">
      <c r="A7" s="12"/>
      <c r="B7" t="s">
        <v>183</v>
      </c>
      <c r="C7" t="s">
        <v>184</v>
      </c>
      <c r="D7" t="s">
        <v>185</v>
      </c>
      <c r="E7" t="s">
        <v>186</v>
      </c>
      <c r="F7" t="s">
        <v>10</v>
      </c>
      <c r="G7" t="s">
        <v>250</v>
      </c>
      <c r="H7" t="s">
        <v>187</v>
      </c>
      <c r="I7" t="s">
        <v>188</v>
      </c>
      <c r="J7" t="s">
        <v>5</v>
      </c>
      <c r="K7" t="s">
        <v>6</v>
      </c>
      <c r="L7" t="s">
        <v>189</v>
      </c>
      <c r="M7" t="s">
        <v>190</v>
      </c>
      <c r="N7" t="s">
        <v>191</v>
      </c>
      <c r="O7" t="s">
        <v>192</v>
      </c>
      <c r="P7" t="s">
        <v>193</v>
      </c>
      <c r="Q7" t="s">
        <v>194</v>
      </c>
      <c r="R7" t="s">
        <v>195</v>
      </c>
      <c r="S7" t="s">
        <v>196</v>
      </c>
      <c r="T7" t="s">
        <v>197</v>
      </c>
      <c r="U7" t="s">
        <v>198</v>
      </c>
      <c r="V7" t="s">
        <v>199</v>
      </c>
      <c r="W7" t="s">
        <v>200</v>
      </c>
    </row>
    <row r="8" spans="1:23" hidden="1" x14ac:dyDescent="0.3">
      <c r="B8" s="11">
        <v>46083</v>
      </c>
      <c r="C8" s="11">
        <v>46122</v>
      </c>
      <c r="D8" t="s">
        <v>318</v>
      </c>
      <c r="E8" s="28">
        <v>250</v>
      </c>
      <c r="F8" t="s">
        <v>284</v>
      </c>
      <c r="G8" t="s">
        <v>280</v>
      </c>
      <c r="H8" t="s">
        <v>355</v>
      </c>
      <c r="J8" t="str">
        <f>IFERROR(VLOOKUP(LO[[#This Row],[Descrição]],TabCategoria[],2,FALSE),"")</f>
        <v>OPERACIONAL</v>
      </c>
      <c r="K8" t="str">
        <f>IFERROR(VLOOKUP(LO[[#This Row],[Descrição]],TabCategoria[],3,FALSE),"")</f>
        <v>DESPESA</v>
      </c>
      <c r="L8" t="str">
        <f>IFERROR(VLOOKUP(LO[[#This Row],[Descrição]],TabCategoria[],4,FALSE),"")</f>
        <v>Moradia</v>
      </c>
      <c r="M8" t="str">
        <f>IFERROR(VLOOKUP(LO[[#This Row],[Descrição]],TabCategoria[],5,FALSE),"")</f>
        <v>Água</v>
      </c>
      <c r="N8">
        <f>SUMIFS(TabCategoria[Meta Mês],TabCategoria[Categoria],LO[[#This Row],[CATEGORIA]])</f>
        <v>0</v>
      </c>
      <c r="O8" s="68">
        <f>SUMIFS(LO[Valor],LO[CATEGORIA],LO[[#This Row],[CATEGORIA]],LO[ANO],LO[[#This Row],[ANO]],LO[MÊS],LO[[#This Row],[MÊS]])
/COUNTIFS(LO[CATEGORIA],LO[[#This Row],[CATEGORIA]],LO[ANO],LO[[#This Row],[ANO]],LO[MÊS],LO[[#This Row],[MÊS]])</f>
        <v>138.44999999999999</v>
      </c>
      <c r="P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" t="str">
        <f>IFERROR(INDEX(TabInst[TIPO],MATCH(LO[[#This Row],[INSTITUIÇÃO]],TabInst[DESCRIÇÃO],0)),"")</f>
        <v/>
      </c>
      <c r="R8" t="str">
        <f>IFERROR(INDEX(TabInst[INSTITUIÇÃO],MATCH(LO[[#This Row],[INSTITUIÇÃO]],TabInst[DESCRIÇÃO],0)),"")</f>
        <v/>
      </c>
      <c r="S8" t="str">
        <f>PROPER(TEXT(LO[[#This Row],[DT Venc]],"MMM"))</f>
        <v>Apr</v>
      </c>
      <c r="T8">
        <f>YEAR(LO[[#This Row],[DT Venc]])</f>
        <v>2026</v>
      </c>
      <c r="U8" t="str">
        <f>IFERROR(VLOOKUP(LO[[#This Row],[CATEGORIA]],TabCategoria[],2,FALSE),"")</f>
        <v/>
      </c>
      <c r="V8" t="str">
        <f>IF(LO[[#This Row],[CONTA/CARTAO]]="Cartão","Cartão",IF(LO[[#This Row],[CATEGORIA]]="Pagamento de Cartão","Fatura",""))</f>
        <v/>
      </c>
      <c r="W8">
        <f>IF(LO[[#This Row],[Tipo]]="Receita",LO[[#This Row],[Valor]],IF(LO[[#This Row],[Tipo]]="Despesa",-LO[[#This Row],[Valor]],0))</f>
        <v>-250</v>
      </c>
    </row>
    <row r="9" spans="1:23" hidden="1" x14ac:dyDescent="0.3">
      <c r="B9" s="11">
        <v>46083</v>
      </c>
      <c r="C9" s="11">
        <v>46122</v>
      </c>
      <c r="D9" t="s">
        <v>319</v>
      </c>
      <c r="E9" s="72">
        <v>150</v>
      </c>
      <c r="F9" t="s">
        <v>284</v>
      </c>
      <c r="G9" t="s">
        <v>280</v>
      </c>
      <c r="H9" t="s">
        <v>355</v>
      </c>
      <c r="J9" t="str">
        <f>IFERROR(VLOOKUP(LO[[#This Row],[Descrição]],TabCategoria[],2,FALSE),"")</f>
        <v>OPERACIONAL</v>
      </c>
      <c r="K9" t="str">
        <f>IFERROR(VLOOKUP(LO[[#This Row],[Descrição]],TabCategoria[],3,FALSE),"")</f>
        <v>DESPESA</v>
      </c>
      <c r="L9" t="str">
        <f>IFERROR(VLOOKUP(LO[[#This Row],[Descrição]],TabCategoria[],4,FALSE),"")</f>
        <v>Transporte</v>
      </c>
      <c r="M9" t="str">
        <f>IFERROR(VLOOKUP(LO[[#This Row],[Descrição]],TabCategoria[],5,FALSE),"")</f>
        <v>Combustível</v>
      </c>
      <c r="N9">
        <f>SUMIFS(TabCategoria[Meta Mês],TabCategoria[Categoria],LO[[#This Row],[CATEGORIA]])</f>
        <v>0</v>
      </c>
      <c r="O9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" t="str">
        <f>IFERROR(INDEX(TabInst[TIPO],MATCH(LO[[#This Row],[INSTITUIÇÃO]],TabInst[DESCRIÇÃO],0)),"")</f>
        <v/>
      </c>
      <c r="R9" t="str">
        <f>IFERROR(INDEX(TabInst[INSTITUIÇÃO],MATCH(LO[[#This Row],[INSTITUIÇÃO]],TabInst[DESCRIÇÃO],0)),"")</f>
        <v/>
      </c>
      <c r="S9" t="str">
        <f>PROPER(TEXT(LO[[#This Row],[DT Venc]],"MMM"))</f>
        <v>Apr</v>
      </c>
      <c r="T9">
        <f>YEAR(LO[[#This Row],[DT Venc]])</f>
        <v>2026</v>
      </c>
      <c r="U9" t="str">
        <f>IFERROR(VLOOKUP(LO[[#This Row],[CATEGORIA]],TabCategoria[],2,FALSE),"")</f>
        <v/>
      </c>
      <c r="V9" t="str">
        <f>IF(LO[[#This Row],[CONTA/CARTAO]]="Cartão","Cartão",IF(LO[[#This Row],[CATEGORIA]]="Pagamento de Cartão","Fatura",""))</f>
        <v/>
      </c>
      <c r="W9">
        <f>IF(LO[[#This Row],[Tipo]]="Receita",LO[[#This Row],[Valor]],IF(LO[[#This Row],[Tipo]]="Despesa",-LO[[#This Row],[Valor]],0))</f>
        <v>-150</v>
      </c>
    </row>
    <row r="10" spans="1:23" hidden="1" x14ac:dyDescent="0.3">
      <c r="B10" s="11">
        <v>46083</v>
      </c>
      <c r="C10" s="11">
        <v>46122</v>
      </c>
      <c r="D10" t="s">
        <v>286</v>
      </c>
      <c r="E10" s="72">
        <v>45</v>
      </c>
      <c r="F10" t="s">
        <v>284</v>
      </c>
      <c r="G10" t="s">
        <v>281</v>
      </c>
      <c r="H10" t="s">
        <v>355</v>
      </c>
      <c r="J10" t="str">
        <f>IFERROR(VLOOKUP(LO[[#This Row],[Descrição]],TabCategoria[],2,FALSE),"")</f>
        <v>OPERACIONAL</v>
      </c>
      <c r="K10" t="str">
        <f>IFERROR(VLOOKUP(LO[[#This Row],[Descrição]],TabCategoria[],3,FALSE),"")</f>
        <v>DESPESA</v>
      </c>
      <c r="L10" t="str">
        <f>IFERROR(VLOOKUP(LO[[#This Row],[Descrição]],TabCategoria[],4,FALSE),"")</f>
        <v>Comunicação</v>
      </c>
      <c r="M10" t="str">
        <f>IFERROR(VLOOKUP(LO[[#This Row],[Descrição]],TabCategoria[],5,FALSE),"")</f>
        <v>Internet</v>
      </c>
      <c r="N10">
        <f>SUMIFS(TabCategoria[Meta Mês],TabCategoria[Categoria],LO[[#This Row],[CATEGORIA]])</f>
        <v>0</v>
      </c>
      <c r="O10" s="68">
        <f>SUMIFS(LO[Valor],LO[CATEGORIA],LO[[#This Row],[CATEGORIA]],LO[ANO],LO[[#This Row],[ANO]],LO[MÊS],LO[[#This Row],[MÊS]])
/COUNTIFS(LO[CATEGORIA],LO[[#This Row],[CATEGORIA]],LO[ANO],LO[[#This Row],[ANO]],LO[MÊS],LO[[#This Row],[MÊS]])</f>
        <v>16.5</v>
      </c>
      <c r="P1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" t="str">
        <f>IFERROR(INDEX(TabInst[TIPO],MATCH(LO[[#This Row],[INSTITUIÇÃO]],TabInst[DESCRIÇÃO],0)),"")</f>
        <v/>
      </c>
      <c r="R10" t="str">
        <f>IFERROR(INDEX(TabInst[INSTITUIÇÃO],MATCH(LO[[#This Row],[INSTITUIÇÃO]],TabInst[DESCRIÇÃO],0)),"")</f>
        <v/>
      </c>
      <c r="S10" t="str">
        <f>PROPER(TEXT(LO[[#This Row],[DT Venc]],"MMM"))</f>
        <v>Apr</v>
      </c>
      <c r="T10">
        <f>YEAR(LO[[#This Row],[DT Venc]])</f>
        <v>2026</v>
      </c>
      <c r="U10" t="str">
        <f>IFERROR(VLOOKUP(LO[[#This Row],[CATEGORIA]],TabCategoria[],2,FALSE),"")</f>
        <v/>
      </c>
      <c r="V10" t="str">
        <f>IF(LO[[#This Row],[CONTA/CARTAO]]="Cartão","Cartão",IF(LO[[#This Row],[CATEGORIA]]="Pagamento de Cartão","Fatura",""))</f>
        <v/>
      </c>
      <c r="W10">
        <f>IF(LO[[#This Row],[Tipo]]="Receita",LO[[#This Row],[Valor]],IF(LO[[#This Row],[Tipo]]="Despesa",-LO[[#This Row],[Valor]],0))</f>
        <v>-45</v>
      </c>
    </row>
    <row r="11" spans="1:23" hidden="1" x14ac:dyDescent="0.3">
      <c r="B11" s="11">
        <v>46083</v>
      </c>
      <c r="C11" s="11">
        <v>46122</v>
      </c>
      <c r="D11" t="s">
        <v>287</v>
      </c>
      <c r="E11" s="72">
        <v>137</v>
      </c>
      <c r="F11" t="s">
        <v>284</v>
      </c>
      <c r="G11" t="s">
        <v>281</v>
      </c>
      <c r="H11" t="s">
        <v>355</v>
      </c>
      <c r="J11" t="str">
        <f>IFERROR(VLOOKUP(LO[[#This Row],[Descrição]],TabCategoria[],2,FALSE),"")</f>
        <v>NÃO OPERACIONAL</v>
      </c>
      <c r="K11" t="str">
        <f>IFERROR(VLOOKUP(LO[[#This Row],[Descrição]],TabCategoria[],3,FALSE),"")</f>
        <v>DESPESA</v>
      </c>
      <c r="L11" t="str">
        <f>IFERROR(VLOOKUP(LO[[#This Row],[Descrição]],TabCategoria[],4,FALSE),"")</f>
        <v>Pessoais</v>
      </c>
      <c r="M11" t="str">
        <f>IFERROR(VLOOKUP(LO[[#This Row],[Descrição]],TabCategoria[],5,FALSE),"")</f>
        <v>INTERNET CELULAR</v>
      </c>
      <c r="N11">
        <f>SUMIFS(TabCategoria[Meta Mês],TabCategoria[Categoria],LO[[#This Row],[CATEGORIA]])</f>
        <v>0</v>
      </c>
      <c r="O11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1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" t="str">
        <f>IFERROR(INDEX(TabInst[TIPO],MATCH(LO[[#This Row],[INSTITUIÇÃO]],TabInst[DESCRIÇÃO],0)),"")</f>
        <v/>
      </c>
      <c r="R11" t="str">
        <f>IFERROR(INDEX(TabInst[INSTITUIÇÃO],MATCH(LO[[#This Row],[INSTITUIÇÃO]],TabInst[DESCRIÇÃO],0)),"")</f>
        <v/>
      </c>
      <c r="S11" t="str">
        <f>PROPER(TEXT(LO[[#This Row],[DT Venc]],"MMM"))</f>
        <v>Apr</v>
      </c>
      <c r="T11">
        <f>YEAR(LO[[#This Row],[DT Venc]])</f>
        <v>2026</v>
      </c>
      <c r="U11" t="str">
        <f>IFERROR(VLOOKUP(LO[[#This Row],[CATEGORIA]],TabCategoria[],2,FALSE),"")</f>
        <v/>
      </c>
      <c r="V11" t="str">
        <f>IF(LO[[#This Row],[CONTA/CARTAO]]="Cartão","Cartão",IF(LO[[#This Row],[CATEGORIA]]="Pagamento de Cartão","Fatura",""))</f>
        <v/>
      </c>
      <c r="W11">
        <f>IF(LO[[#This Row],[Tipo]]="Receita",LO[[#This Row],[Valor]],IF(LO[[#This Row],[Tipo]]="Despesa",-LO[[#This Row],[Valor]],0))</f>
        <v>-137</v>
      </c>
    </row>
    <row r="12" spans="1:23" hidden="1" x14ac:dyDescent="0.3">
      <c r="B12" s="11">
        <v>46083</v>
      </c>
      <c r="C12" s="11">
        <v>46122</v>
      </c>
      <c r="D12" t="s">
        <v>288</v>
      </c>
      <c r="E12" s="72">
        <v>21</v>
      </c>
      <c r="F12" t="s">
        <v>284</v>
      </c>
      <c r="G12" t="s">
        <v>280</v>
      </c>
      <c r="H12" t="s">
        <v>355</v>
      </c>
      <c r="I12" t="s">
        <v>320</v>
      </c>
      <c r="J12" t="str">
        <f>IFERROR(VLOOKUP(LO[[#This Row],[Descrição]],TabCategoria[],2,FALSE),"")</f>
        <v>OPERACIONAL</v>
      </c>
      <c r="K12" t="str">
        <f>IFERROR(VLOOKUP(LO[[#This Row],[Descrição]],TabCategoria[],3,FALSE),"")</f>
        <v>DESPESA</v>
      </c>
      <c r="L12" t="str">
        <f>IFERROR(VLOOKUP(LO[[#This Row],[Descrição]],TabCategoria[],4,FALSE),"")</f>
        <v>Comunicação</v>
      </c>
      <c r="M12" t="str">
        <f>IFERROR(VLOOKUP(LO[[#This Row],[Descrição]],TabCategoria[],5,FALSE),"")</f>
        <v>Apps (Netflix, Spotify, Skype, etc)</v>
      </c>
      <c r="N12">
        <f>SUMIFS(TabCategoria[Meta Mês],TabCategoria[Categoria],LO[[#This Row],[CATEGORIA]])</f>
        <v>0</v>
      </c>
      <c r="O12" s="68">
        <f>SUMIFS(LO[Valor],LO[CATEGORIA],LO[[#This Row],[CATEGORIA]],LO[ANO],LO[[#This Row],[ANO]],LO[MÊS],LO[[#This Row],[MÊS]])
/COUNTIFS(LO[CATEGORIA],LO[[#This Row],[CATEGORIA]],LO[ANO],LO[[#This Row],[ANO]],LO[MÊS],LO[[#This Row],[MÊS]])</f>
        <v>16.5</v>
      </c>
      <c r="P1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" t="str">
        <f>IFERROR(INDEX(TabInst[TIPO],MATCH(LO[[#This Row],[INSTITUIÇÃO]],TabInst[DESCRIÇÃO],0)),"")</f>
        <v/>
      </c>
      <c r="R12" t="str">
        <f>IFERROR(INDEX(TabInst[INSTITUIÇÃO],MATCH(LO[[#This Row],[INSTITUIÇÃO]],TabInst[DESCRIÇÃO],0)),"")</f>
        <v/>
      </c>
      <c r="S12" t="str">
        <f>PROPER(TEXT(LO[[#This Row],[DT Venc]],"MMM"))</f>
        <v>Apr</v>
      </c>
      <c r="T12">
        <f>YEAR(LO[[#This Row],[DT Venc]])</f>
        <v>2026</v>
      </c>
      <c r="U12" t="str">
        <f>IFERROR(VLOOKUP(LO[[#This Row],[CATEGORIA]],TabCategoria[],2,FALSE),"")</f>
        <v/>
      </c>
      <c r="V12" t="str">
        <f>IF(LO[[#This Row],[CONTA/CARTAO]]="Cartão","Cartão",IF(LO[[#This Row],[CATEGORIA]]="Pagamento de Cartão","Fatura",""))</f>
        <v/>
      </c>
      <c r="W12">
        <f>IF(LO[[#This Row],[Tipo]]="Receita",LO[[#This Row],[Valor]],IF(LO[[#This Row],[Tipo]]="Despesa",-LO[[#This Row],[Valor]],0))</f>
        <v>-21</v>
      </c>
    </row>
    <row r="13" spans="1:23" hidden="1" x14ac:dyDescent="0.3">
      <c r="B13" s="11">
        <v>46083</v>
      </c>
      <c r="C13" s="11">
        <v>46122</v>
      </c>
      <c r="D13" t="s">
        <v>288</v>
      </c>
      <c r="E13" s="72">
        <v>0</v>
      </c>
      <c r="F13" t="s">
        <v>284</v>
      </c>
      <c r="G13" t="s">
        <v>282</v>
      </c>
      <c r="H13" t="s">
        <v>355</v>
      </c>
      <c r="I13" t="s">
        <v>321</v>
      </c>
      <c r="J13" t="str">
        <f>IFERROR(VLOOKUP(LO[[#This Row],[Descrição]],TabCategoria[],2,FALSE),"")</f>
        <v>OPERACIONAL</v>
      </c>
      <c r="K13" t="str">
        <f>IFERROR(VLOOKUP(LO[[#This Row],[Descrição]],TabCategoria[],3,FALSE),"")</f>
        <v>DESPESA</v>
      </c>
      <c r="L13" t="str">
        <f>IFERROR(VLOOKUP(LO[[#This Row],[Descrição]],TabCategoria[],4,FALSE),"")</f>
        <v>Comunicação</v>
      </c>
      <c r="M13" t="str">
        <f>IFERROR(VLOOKUP(LO[[#This Row],[Descrição]],TabCategoria[],5,FALSE),"")</f>
        <v>Apps (Netflix, Spotify, Skype, etc)</v>
      </c>
      <c r="N13">
        <f>SUMIFS(TabCategoria[Meta Mês],TabCategoria[Categoria],LO[[#This Row],[CATEGORIA]])</f>
        <v>0</v>
      </c>
      <c r="O13" s="68">
        <f>SUMIFS(LO[Valor],LO[CATEGORIA],LO[[#This Row],[CATEGORIA]],LO[ANO],LO[[#This Row],[ANO]],LO[MÊS],LO[[#This Row],[MÊS]])
/COUNTIFS(LO[CATEGORIA],LO[[#This Row],[CATEGORIA]],LO[ANO],LO[[#This Row],[ANO]],LO[MÊS],LO[[#This Row],[MÊS]])</f>
        <v>16.5</v>
      </c>
      <c r="P1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" t="str">
        <f>IFERROR(INDEX(TabInst[TIPO],MATCH(LO[[#This Row],[INSTITUIÇÃO]],TabInst[DESCRIÇÃO],0)),"")</f>
        <v/>
      </c>
      <c r="R13" t="str">
        <f>IFERROR(INDEX(TabInst[INSTITUIÇÃO],MATCH(LO[[#This Row],[INSTITUIÇÃO]],TabInst[DESCRIÇÃO],0)),"")</f>
        <v/>
      </c>
      <c r="S13" t="str">
        <f>PROPER(TEXT(LO[[#This Row],[DT Venc]],"MMM"))</f>
        <v>Apr</v>
      </c>
      <c r="T13">
        <f>YEAR(LO[[#This Row],[DT Venc]])</f>
        <v>2026</v>
      </c>
      <c r="U13" t="str">
        <f>IFERROR(VLOOKUP(LO[[#This Row],[CATEGORIA]],TabCategoria[],2,FALSE),"")</f>
        <v/>
      </c>
      <c r="V13" t="str">
        <f>IF(LO[[#This Row],[CONTA/CARTAO]]="Cartão","Cartão",IF(LO[[#This Row],[CATEGORIA]]="Pagamento de Cartão","Fatura",""))</f>
        <v/>
      </c>
      <c r="W13">
        <f>IF(LO[[#This Row],[Tipo]]="Receita",LO[[#This Row],[Valor]],IF(LO[[#This Row],[Tipo]]="Despesa",-LO[[#This Row],[Valor]],0))</f>
        <v>0</v>
      </c>
    </row>
    <row r="14" spans="1:23" hidden="1" x14ac:dyDescent="0.3">
      <c r="B14" s="11">
        <v>46083</v>
      </c>
      <c r="C14" s="11">
        <v>46122</v>
      </c>
      <c r="D14" t="s">
        <v>288</v>
      </c>
      <c r="E14" s="72">
        <v>0</v>
      </c>
      <c r="F14" t="s">
        <v>284</v>
      </c>
      <c r="G14" t="s">
        <v>282</v>
      </c>
      <c r="H14" t="s">
        <v>355</v>
      </c>
      <c r="I14" t="s">
        <v>322</v>
      </c>
      <c r="J14" t="str">
        <f>IFERROR(VLOOKUP(LO[[#This Row],[Descrição]],TabCategoria[],2,FALSE),"")</f>
        <v>OPERACIONAL</v>
      </c>
      <c r="K14" t="str">
        <f>IFERROR(VLOOKUP(LO[[#This Row],[Descrição]],TabCategoria[],3,FALSE),"")</f>
        <v>DESPESA</v>
      </c>
      <c r="L14" t="str">
        <f>IFERROR(VLOOKUP(LO[[#This Row],[Descrição]],TabCategoria[],4,FALSE),"")</f>
        <v>Comunicação</v>
      </c>
      <c r="M14" t="str">
        <f>IFERROR(VLOOKUP(LO[[#This Row],[Descrição]],TabCategoria[],5,FALSE),"")</f>
        <v>Apps (Netflix, Spotify, Skype, etc)</v>
      </c>
      <c r="N14">
        <f>SUMIFS(TabCategoria[Meta Mês],TabCategoria[Categoria],LO[[#This Row],[CATEGORIA]])</f>
        <v>0</v>
      </c>
      <c r="O14" s="68">
        <f>SUMIFS(LO[Valor],LO[CATEGORIA],LO[[#This Row],[CATEGORIA]],LO[ANO],LO[[#This Row],[ANO]],LO[MÊS],LO[[#This Row],[MÊS]])
/COUNTIFS(LO[CATEGORIA],LO[[#This Row],[CATEGORIA]],LO[ANO],LO[[#This Row],[ANO]],LO[MÊS],LO[[#This Row],[MÊS]])</f>
        <v>16.5</v>
      </c>
      <c r="P1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" t="str">
        <f>IFERROR(INDEX(TabInst[TIPO],MATCH(LO[[#This Row],[INSTITUIÇÃO]],TabInst[DESCRIÇÃO],0)),"")</f>
        <v/>
      </c>
      <c r="R14" t="str">
        <f>IFERROR(INDEX(TabInst[INSTITUIÇÃO],MATCH(LO[[#This Row],[INSTITUIÇÃO]],TabInst[DESCRIÇÃO],0)),"")</f>
        <v/>
      </c>
      <c r="S14" t="str">
        <f>PROPER(TEXT(LO[[#This Row],[DT Venc]],"MMM"))</f>
        <v>Apr</v>
      </c>
      <c r="T14">
        <f>YEAR(LO[[#This Row],[DT Venc]])</f>
        <v>2026</v>
      </c>
      <c r="U14" t="str">
        <f>IFERROR(VLOOKUP(LO[[#This Row],[CATEGORIA]],TabCategoria[],2,FALSE),"")</f>
        <v/>
      </c>
      <c r="V14" t="str">
        <f>IF(LO[[#This Row],[CONTA/CARTAO]]="Cartão","Cartão",IF(LO[[#This Row],[CATEGORIA]]="Pagamento de Cartão","Fatura",""))</f>
        <v/>
      </c>
      <c r="W14">
        <f>IF(LO[[#This Row],[Tipo]]="Receita",LO[[#This Row],[Valor]],IF(LO[[#This Row],[Tipo]]="Despesa",-LO[[#This Row],[Valor]],0))</f>
        <v>0</v>
      </c>
    </row>
    <row r="15" spans="1:23" hidden="1" x14ac:dyDescent="0.3">
      <c r="B15" s="11">
        <v>46083</v>
      </c>
      <c r="C15" s="11">
        <v>46122</v>
      </c>
      <c r="D15" t="s">
        <v>323</v>
      </c>
      <c r="E15" s="72">
        <v>122</v>
      </c>
      <c r="F15" t="s">
        <v>284</v>
      </c>
      <c r="G15" t="s">
        <v>281</v>
      </c>
      <c r="H15" t="s">
        <v>355</v>
      </c>
      <c r="I15" t="s">
        <v>324</v>
      </c>
      <c r="J15" t="str">
        <f>IFERROR(VLOOKUP(LO[[#This Row],[Descrição]],TabCategoria[],2,FALSE),"")</f>
        <v>NÃO OPERACIONAL</v>
      </c>
      <c r="K15" t="str">
        <f>IFERROR(VLOOKUP(LO[[#This Row],[Descrição]],TabCategoria[],3,FALSE),"")</f>
        <v>DESPESA</v>
      </c>
      <c r="L15" t="str">
        <f>IFERROR(VLOOKUP(LO[[#This Row],[Descrição]],TabCategoria[],4,FALSE),"")</f>
        <v>Empréstimo</v>
      </c>
      <c r="M15" t="str">
        <f>IFERROR(VLOOKUP(LO[[#This Row],[Descrição]],TabCategoria[],5,FALSE),"")</f>
        <v>Parcelamento Cartão de Crédito</v>
      </c>
      <c r="N15">
        <f>SUMIFS(TabCategoria[Meta Mês],TabCategoria[Categoria],LO[[#This Row],[CATEGORIA]])</f>
        <v>0</v>
      </c>
      <c r="O15" s="68">
        <f>SUMIFS(LO[Valor],LO[CATEGORIA],LO[[#This Row],[CATEGORIA]],LO[ANO],LO[[#This Row],[ANO]],LO[MÊS],LO[[#This Row],[MÊS]])
/COUNTIFS(LO[CATEGORIA],LO[[#This Row],[CATEGORIA]],LO[ANO],LO[[#This Row],[ANO]],LO[MÊS],LO[[#This Row],[MÊS]])</f>
        <v>268.5</v>
      </c>
      <c r="P1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" t="str">
        <f>IFERROR(INDEX(TabInst[TIPO],MATCH(LO[[#This Row],[INSTITUIÇÃO]],TabInst[DESCRIÇÃO],0)),"")</f>
        <v/>
      </c>
      <c r="R15" t="str">
        <f>IFERROR(INDEX(TabInst[INSTITUIÇÃO],MATCH(LO[[#This Row],[INSTITUIÇÃO]],TabInst[DESCRIÇÃO],0)),"")</f>
        <v/>
      </c>
      <c r="S15" t="str">
        <f>PROPER(TEXT(LO[[#This Row],[DT Venc]],"MMM"))</f>
        <v>Apr</v>
      </c>
      <c r="T15">
        <f>YEAR(LO[[#This Row],[DT Venc]])</f>
        <v>2026</v>
      </c>
      <c r="U15" t="str">
        <f>IFERROR(VLOOKUP(LO[[#This Row],[CATEGORIA]],TabCategoria[],2,FALSE),"")</f>
        <v/>
      </c>
      <c r="V15" t="str">
        <f>IF(LO[[#This Row],[CONTA/CARTAO]]="Cartão","Cartão",IF(LO[[#This Row],[CATEGORIA]]="Pagamento de Cartão","Fatura",""))</f>
        <v/>
      </c>
      <c r="W15">
        <f>IF(LO[[#This Row],[Tipo]]="Receita",LO[[#This Row],[Valor]],IF(LO[[#This Row],[Tipo]]="Despesa",-LO[[#This Row],[Valor]],0))</f>
        <v>-122</v>
      </c>
    </row>
    <row r="16" spans="1:23" hidden="1" x14ac:dyDescent="0.3">
      <c r="B16" s="11">
        <v>46083</v>
      </c>
      <c r="C16" s="11">
        <v>46122</v>
      </c>
      <c r="D16" t="s">
        <v>289</v>
      </c>
      <c r="E16" s="72">
        <v>217</v>
      </c>
      <c r="F16" t="s">
        <v>284</v>
      </c>
      <c r="G16" t="s">
        <v>280</v>
      </c>
      <c r="H16" t="s">
        <v>355</v>
      </c>
      <c r="J16" t="str">
        <f>IFERROR(VLOOKUP(LO[[#This Row],[Descrição]],TabCategoria[],2,FALSE),"")</f>
        <v>NÃO OPERACIONAL</v>
      </c>
      <c r="K16" t="str">
        <f>IFERROR(VLOOKUP(LO[[#This Row],[Descrição]],TabCategoria[],3,FALSE),"")</f>
        <v>DESPESA</v>
      </c>
      <c r="L16" t="str">
        <f>IFERROR(VLOOKUP(LO[[#This Row],[Descrição]],TabCategoria[],4,FALSE),"")</f>
        <v>Lazer</v>
      </c>
      <c r="M16" t="str">
        <f>IFERROR(VLOOKUP(LO[[#This Row],[Descrição]],TabCategoria[],5,FALSE),"")</f>
        <v>CELULAR</v>
      </c>
      <c r="N16">
        <f>SUMIFS(TabCategoria[Meta Mês],TabCategoria[Categoria],LO[[#This Row],[CATEGORIA]])</f>
        <v>0</v>
      </c>
      <c r="O16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1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" t="str">
        <f>IFERROR(INDEX(TabInst[TIPO],MATCH(LO[[#This Row],[INSTITUIÇÃO]],TabInst[DESCRIÇÃO],0)),"")</f>
        <v/>
      </c>
      <c r="R16" t="str">
        <f>IFERROR(INDEX(TabInst[INSTITUIÇÃO],MATCH(LO[[#This Row],[INSTITUIÇÃO]],TabInst[DESCRIÇÃO],0)),"")</f>
        <v/>
      </c>
      <c r="S16" t="str">
        <f>PROPER(TEXT(LO[[#This Row],[DT Venc]],"MMM"))</f>
        <v>Apr</v>
      </c>
      <c r="T16">
        <f>YEAR(LO[[#This Row],[DT Venc]])</f>
        <v>2026</v>
      </c>
      <c r="U16" t="str">
        <f>IFERROR(VLOOKUP(LO[[#This Row],[CATEGORIA]],TabCategoria[],2,FALSE),"")</f>
        <v/>
      </c>
      <c r="V16" t="str">
        <f>IF(LO[[#This Row],[CONTA/CARTAO]]="Cartão","Cartão",IF(LO[[#This Row],[CATEGORIA]]="Pagamento de Cartão","Fatura",""))</f>
        <v/>
      </c>
      <c r="W16">
        <f>IF(LO[[#This Row],[Tipo]]="Receita",LO[[#This Row],[Valor]],IF(LO[[#This Row],[Tipo]]="Despesa",-LO[[#This Row],[Valor]],0))</f>
        <v>-217</v>
      </c>
    </row>
    <row r="17" spans="2:23" hidden="1" x14ac:dyDescent="0.3">
      <c r="B17" s="11">
        <v>46083</v>
      </c>
      <c r="C17" s="11">
        <v>46122</v>
      </c>
      <c r="D17" t="s">
        <v>290</v>
      </c>
      <c r="E17" s="72">
        <v>67.8</v>
      </c>
      <c r="F17" t="s">
        <v>284</v>
      </c>
      <c r="G17" t="s">
        <v>280</v>
      </c>
      <c r="H17" t="s">
        <v>355</v>
      </c>
      <c r="J17" t="str">
        <f>IFERROR(VLOOKUP(LO[[#This Row],[Descrição]],TabCategoria[],2,FALSE),"")</f>
        <v>NÃO OPERACIONAL</v>
      </c>
      <c r="K17" t="str">
        <f>IFERROR(VLOOKUP(LO[[#This Row],[Descrição]],TabCategoria[],3,FALSE),"")</f>
        <v>DESPESA</v>
      </c>
      <c r="L17" t="str">
        <f>IFERROR(VLOOKUP(LO[[#This Row],[Descrição]],TabCategoria[],4,FALSE),"")</f>
        <v>Lazer</v>
      </c>
      <c r="M17" t="str">
        <f>IFERROR(VLOOKUP(LO[[#This Row],[Descrição]],TabCategoria[],5,FALSE),"")</f>
        <v>FONTE, COOLER</v>
      </c>
      <c r="N17">
        <f>SUMIFS(TabCategoria[Meta Mês],TabCategoria[Categoria],LO[[#This Row],[CATEGORIA]])</f>
        <v>0</v>
      </c>
      <c r="O17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1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" t="str">
        <f>IFERROR(INDEX(TabInst[TIPO],MATCH(LO[[#This Row],[INSTITUIÇÃO]],TabInst[DESCRIÇÃO],0)),"")</f>
        <v/>
      </c>
      <c r="R17" t="str">
        <f>IFERROR(INDEX(TabInst[INSTITUIÇÃO],MATCH(LO[[#This Row],[INSTITUIÇÃO]],TabInst[DESCRIÇÃO],0)),"")</f>
        <v/>
      </c>
      <c r="S17" t="str">
        <f>PROPER(TEXT(LO[[#This Row],[DT Venc]],"MMM"))</f>
        <v>Apr</v>
      </c>
      <c r="T17">
        <f>YEAR(LO[[#This Row],[DT Venc]])</f>
        <v>2026</v>
      </c>
      <c r="U17" t="str">
        <f>IFERROR(VLOOKUP(LO[[#This Row],[CATEGORIA]],TabCategoria[],2,FALSE),"")</f>
        <v/>
      </c>
      <c r="V17" t="str">
        <f>IF(LO[[#This Row],[CONTA/CARTAO]]="Cartão","Cartão",IF(LO[[#This Row],[CATEGORIA]]="Pagamento de Cartão","Fatura",""))</f>
        <v/>
      </c>
      <c r="W17">
        <f>IF(LO[[#This Row],[Tipo]]="Receita",LO[[#This Row],[Valor]],IF(LO[[#This Row],[Tipo]]="Despesa",-LO[[#This Row],[Valor]],0))</f>
        <v>-67.8</v>
      </c>
    </row>
    <row r="18" spans="2:23" hidden="1" x14ac:dyDescent="0.3">
      <c r="B18" s="11">
        <v>46083</v>
      </c>
      <c r="C18" s="11">
        <v>46122</v>
      </c>
      <c r="D18" t="s">
        <v>323</v>
      </c>
      <c r="E18" s="72">
        <v>415</v>
      </c>
      <c r="F18" t="s">
        <v>284</v>
      </c>
      <c r="G18" t="s">
        <v>281</v>
      </c>
      <c r="H18" t="s">
        <v>355</v>
      </c>
      <c r="I18" t="s">
        <v>325</v>
      </c>
      <c r="J18" t="str">
        <f>IFERROR(VLOOKUP(LO[[#This Row],[Descrição]],TabCategoria[],2,FALSE),"")</f>
        <v>NÃO OPERACIONAL</v>
      </c>
      <c r="K18" t="str">
        <f>IFERROR(VLOOKUP(LO[[#This Row],[Descrição]],TabCategoria[],3,FALSE),"")</f>
        <v>DESPESA</v>
      </c>
      <c r="L18" t="str">
        <f>IFERROR(VLOOKUP(LO[[#This Row],[Descrição]],TabCategoria[],4,FALSE),"")</f>
        <v>Empréstimo</v>
      </c>
      <c r="M18" t="str">
        <f>IFERROR(VLOOKUP(LO[[#This Row],[Descrição]],TabCategoria[],5,FALSE),"")</f>
        <v>Parcelamento Cartão de Crédito</v>
      </c>
      <c r="N18">
        <f>SUMIFS(TabCategoria[Meta Mês],TabCategoria[Categoria],LO[[#This Row],[CATEGORIA]])</f>
        <v>0</v>
      </c>
      <c r="O18" s="68">
        <f>SUMIFS(LO[Valor],LO[CATEGORIA],LO[[#This Row],[CATEGORIA]],LO[ANO],LO[[#This Row],[ANO]],LO[MÊS],LO[[#This Row],[MÊS]])
/COUNTIFS(LO[CATEGORIA],LO[[#This Row],[CATEGORIA]],LO[ANO],LO[[#This Row],[ANO]],LO[MÊS],LO[[#This Row],[MÊS]])</f>
        <v>268.5</v>
      </c>
      <c r="P1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" t="str">
        <f>IFERROR(INDEX(TabInst[TIPO],MATCH(LO[[#This Row],[INSTITUIÇÃO]],TabInst[DESCRIÇÃO],0)),"")</f>
        <v/>
      </c>
      <c r="R18" t="str">
        <f>IFERROR(INDEX(TabInst[INSTITUIÇÃO],MATCH(LO[[#This Row],[INSTITUIÇÃO]],TabInst[DESCRIÇÃO],0)),"")</f>
        <v/>
      </c>
      <c r="S18" t="str">
        <f>PROPER(TEXT(LO[[#This Row],[DT Venc]],"MMM"))</f>
        <v>Apr</v>
      </c>
      <c r="T18">
        <f>YEAR(LO[[#This Row],[DT Venc]])</f>
        <v>2026</v>
      </c>
      <c r="U18" t="str">
        <f>IFERROR(VLOOKUP(LO[[#This Row],[CATEGORIA]],TabCategoria[],2,FALSE),"")</f>
        <v/>
      </c>
      <c r="V18" t="str">
        <f>IF(LO[[#This Row],[CONTA/CARTAO]]="Cartão","Cartão",IF(LO[[#This Row],[CATEGORIA]]="Pagamento de Cartão","Fatura",""))</f>
        <v/>
      </c>
      <c r="W18">
        <f>IF(LO[[#This Row],[Tipo]]="Receita",LO[[#This Row],[Valor]],IF(LO[[#This Row],[Tipo]]="Despesa",-LO[[#This Row],[Valor]],0))</f>
        <v>-415</v>
      </c>
    </row>
    <row r="19" spans="2:23" hidden="1" x14ac:dyDescent="0.3">
      <c r="B19" s="11">
        <v>46083</v>
      </c>
      <c r="C19" s="11">
        <v>46122</v>
      </c>
      <c r="D19" t="s">
        <v>291</v>
      </c>
      <c r="E19" s="72">
        <v>50</v>
      </c>
      <c r="F19" t="s">
        <v>284</v>
      </c>
      <c r="G19" t="s">
        <v>280</v>
      </c>
      <c r="H19" t="s">
        <v>355</v>
      </c>
      <c r="J19" t="str">
        <f>IFERROR(VLOOKUP(LO[[#This Row],[Descrição]],TabCategoria[],2,FALSE),"")</f>
        <v>NÃO OPERACIONAL</v>
      </c>
      <c r="K19" t="str">
        <f>IFERROR(VLOOKUP(LO[[#This Row],[Descrição]],TabCategoria[],3,FALSE),"")</f>
        <v>DESPESA</v>
      </c>
      <c r="L19" t="str">
        <f>IFERROR(VLOOKUP(LO[[#This Row],[Descrição]],TabCategoria[],4,FALSE),"")</f>
        <v>Lazer</v>
      </c>
      <c r="M19" t="str">
        <f>IFERROR(VLOOKUP(LO[[#This Row],[Descrição]],TabCategoria[],5,FALSE),"")</f>
        <v>CADEIRA</v>
      </c>
      <c r="N19">
        <f>SUMIFS(TabCategoria[Meta Mês],TabCategoria[Categoria],LO[[#This Row],[CATEGORIA]])</f>
        <v>0</v>
      </c>
      <c r="O19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1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" t="str">
        <f>IFERROR(INDEX(TabInst[TIPO],MATCH(LO[[#This Row],[INSTITUIÇÃO]],TabInst[DESCRIÇÃO],0)),"")</f>
        <v/>
      </c>
      <c r="R19" t="str">
        <f>IFERROR(INDEX(TabInst[INSTITUIÇÃO],MATCH(LO[[#This Row],[INSTITUIÇÃO]],TabInst[DESCRIÇÃO],0)),"")</f>
        <v/>
      </c>
      <c r="S19" t="str">
        <f>PROPER(TEXT(LO[[#This Row],[DT Venc]],"MMM"))</f>
        <v>Apr</v>
      </c>
      <c r="T19">
        <f>YEAR(LO[[#This Row],[DT Venc]])</f>
        <v>2026</v>
      </c>
      <c r="U19" t="str">
        <f>IFERROR(VLOOKUP(LO[[#This Row],[CATEGORIA]],TabCategoria[],2,FALSE),"")</f>
        <v/>
      </c>
      <c r="V19" t="str">
        <f>IF(LO[[#This Row],[CONTA/CARTAO]]="Cartão","Cartão",IF(LO[[#This Row],[CATEGORIA]]="Pagamento de Cartão","Fatura",""))</f>
        <v/>
      </c>
      <c r="W19">
        <f>IF(LO[[#This Row],[Tipo]]="Receita",LO[[#This Row],[Valor]],IF(LO[[#This Row],[Tipo]]="Despesa",-LO[[#This Row],[Valor]],0))</f>
        <v>-50</v>
      </c>
    </row>
    <row r="20" spans="2:23" hidden="1" x14ac:dyDescent="0.3">
      <c r="B20" s="11">
        <v>46083</v>
      </c>
      <c r="C20" s="11">
        <v>46122</v>
      </c>
      <c r="D20" t="s">
        <v>292</v>
      </c>
      <c r="E20" s="72">
        <v>150</v>
      </c>
      <c r="F20" t="s">
        <v>284</v>
      </c>
      <c r="G20" t="s">
        <v>280</v>
      </c>
      <c r="H20" t="s">
        <v>355</v>
      </c>
      <c r="J20" t="str">
        <f>IFERROR(VLOOKUP(LO[[#This Row],[Descrição]],TabCategoria[],2,FALSE),"")</f>
        <v>NÃO OPERACIONAL</v>
      </c>
      <c r="K20" t="str">
        <f>IFERROR(VLOOKUP(LO[[#This Row],[Descrição]],TabCategoria[],3,FALSE),"")</f>
        <v>DESPESA</v>
      </c>
      <c r="L20" t="str">
        <f>IFERROR(VLOOKUP(LO[[#This Row],[Descrição]],TabCategoria[],4,FALSE),"")</f>
        <v>Lazer</v>
      </c>
      <c r="M20" t="str">
        <f>IFERROR(VLOOKUP(LO[[#This Row],[Descrição]],TabCategoria[],5,FALSE),"")</f>
        <v>PLACA MAE</v>
      </c>
      <c r="N20">
        <f>SUMIFS(TabCategoria[Meta Mês],TabCategoria[Categoria],LO[[#This Row],[CATEGORIA]])</f>
        <v>0</v>
      </c>
      <c r="O20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0" t="str">
        <f>IFERROR(INDEX(TabInst[TIPO],MATCH(LO[[#This Row],[INSTITUIÇÃO]],TabInst[DESCRIÇÃO],0)),"")</f>
        <v/>
      </c>
      <c r="R20" t="str">
        <f>IFERROR(INDEX(TabInst[INSTITUIÇÃO],MATCH(LO[[#This Row],[INSTITUIÇÃO]],TabInst[DESCRIÇÃO],0)),"")</f>
        <v/>
      </c>
      <c r="S20" t="str">
        <f>PROPER(TEXT(LO[[#This Row],[DT Venc]],"MMM"))</f>
        <v>Apr</v>
      </c>
      <c r="T20">
        <f>YEAR(LO[[#This Row],[DT Venc]])</f>
        <v>2026</v>
      </c>
      <c r="U20" t="str">
        <f>IFERROR(VLOOKUP(LO[[#This Row],[CATEGORIA]],TabCategoria[],2,FALSE),"")</f>
        <v/>
      </c>
      <c r="V20" t="str">
        <f>IF(LO[[#This Row],[CONTA/CARTAO]]="Cartão","Cartão",IF(LO[[#This Row],[CATEGORIA]]="Pagamento de Cartão","Fatura",""))</f>
        <v/>
      </c>
      <c r="W20">
        <f>IF(LO[[#This Row],[Tipo]]="Receita",LO[[#This Row],[Valor]],IF(LO[[#This Row],[Tipo]]="Despesa",-LO[[#This Row],[Valor]],0))</f>
        <v>-150</v>
      </c>
    </row>
    <row r="21" spans="2:23" hidden="1" x14ac:dyDescent="0.3">
      <c r="B21" s="11">
        <v>46083</v>
      </c>
      <c r="C21" s="11">
        <v>46122</v>
      </c>
      <c r="D21" t="s">
        <v>293</v>
      </c>
      <c r="E21" s="72">
        <v>136</v>
      </c>
      <c r="F21" t="s">
        <v>284</v>
      </c>
      <c r="G21" t="s">
        <v>280</v>
      </c>
      <c r="H21" t="s">
        <v>355</v>
      </c>
      <c r="J21" t="str">
        <f>IFERROR(VLOOKUP(LO[[#This Row],[Descrição]],TabCategoria[],2,FALSE),"")</f>
        <v>NÃO OPERACIONAL</v>
      </c>
      <c r="K21" t="str">
        <f>IFERROR(VLOOKUP(LO[[#This Row],[Descrição]],TabCategoria[],3,FALSE),"")</f>
        <v>DESPESA</v>
      </c>
      <c r="L21" t="str">
        <f>IFERROR(VLOOKUP(LO[[#This Row],[Descrição]],TabCategoria[],4,FALSE),"")</f>
        <v>Lazer</v>
      </c>
      <c r="M21" t="str">
        <f>IFERROR(VLOOKUP(LO[[#This Row],[Descrição]],TabCategoria[],5,FALSE),"")</f>
        <v>PROCESSADOR</v>
      </c>
      <c r="N21">
        <f>SUMIFS(TabCategoria[Meta Mês],TabCategoria[Categoria],LO[[#This Row],[CATEGORIA]])</f>
        <v>0</v>
      </c>
      <c r="O21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1" t="str">
        <f>IFERROR(INDEX(TabInst[TIPO],MATCH(LO[[#This Row],[INSTITUIÇÃO]],TabInst[DESCRIÇÃO],0)),"")</f>
        <v/>
      </c>
      <c r="R21" t="str">
        <f>IFERROR(INDEX(TabInst[INSTITUIÇÃO],MATCH(LO[[#This Row],[INSTITUIÇÃO]],TabInst[DESCRIÇÃO],0)),"")</f>
        <v/>
      </c>
      <c r="S21" t="str">
        <f>PROPER(TEXT(LO[[#This Row],[DT Venc]],"MMM"))</f>
        <v>Apr</v>
      </c>
      <c r="T21">
        <f>YEAR(LO[[#This Row],[DT Venc]])</f>
        <v>2026</v>
      </c>
      <c r="U21" t="str">
        <f>IFERROR(VLOOKUP(LO[[#This Row],[CATEGORIA]],TabCategoria[],2,FALSE),"")</f>
        <v/>
      </c>
      <c r="V21" t="str">
        <f>IF(LO[[#This Row],[CONTA/CARTAO]]="Cartão","Cartão",IF(LO[[#This Row],[CATEGORIA]]="Pagamento de Cartão","Fatura",""))</f>
        <v/>
      </c>
      <c r="W21">
        <f>IF(LO[[#This Row],[Tipo]]="Receita",LO[[#This Row],[Valor]],IF(LO[[#This Row],[Tipo]]="Despesa",-LO[[#This Row],[Valor]],0))</f>
        <v>-136</v>
      </c>
    </row>
    <row r="22" spans="2:23" hidden="1" x14ac:dyDescent="0.3">
      <c r="B22" s="11">
        <v>46083</v>
      </c>
      <c r="C22" s="11">
        <v>46122</v>
      </c>
      <c r="D22" t="s">
        <v>294</v>
      </c>
      <c r="E22" s="72">
        <v>0</v>
      </c>
      <c r="F22" t="s">
        <v>284</v>
      </c>
      <c r="G22" t="s">
        <v>282</v>
      </c>
      <c r="H22" t="s">
        <v>355</v>
      </c>
      <c r="J22" t="str">
        <f>IFERROR(VLOOKUP(LO[[#This Row],[Descrição]],TabCategoria[],2,FALSE),"")</f>
        <v>NÃO OPERACIONAL</v>
      </c>
      <c r="K22" t="str">
        <f>IFERROR(VLOOKUP(LO[[#This Row],[Descrição]],TabCategoria[],3,FALSE),"")</f>
        <v>DESPESA</v>
      </c>
      <c r="L22" t="str">
        <f>IFERROR(VLOOKUP(LO[[#This Row],[Descrição]],TabCategoria[],4,FALSE),"")</f>
        <v>Lazer</v>
      </c>
      <c r="M22" t="str">
        <f>IFERROR(VLOOKUP(LO[[#This Row],[Descrição]],TabCategoria[],5,FALSE),"")</f>
        <v>APPLE</v>
      </c>
      <c r="N22">
        <f>SUMIFS(TabCategoria[Meta Mês],TabCategoria[Categoria],LO[[#This Row],[CATEGORIA]])</f>
        <v>0</v>
      </c>
      <c r="O22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2" t="str">
        <f>IFERROR(INDEX(TabInst[TIPO],MATCH(LO[[#This Row],[INSTITUIÇÃO]],TabInst[DESCRIÇÃO],0)),"")</f>
        <v/>
      </c>
      <c r="R22" t="str">
        <f>IFERROR(INDEX(TabInst[INSTITUIÇÃO],MATCH(LO[[#This Row],[INSTITUIÇÃO]],TabInst[DESCRIÇÃO],0)),"")</f>
        <v/>
      </c>
      <c r="S22" t="str">
        <f>PROPER(TEXT(LO[[#This Row],[DT Venc]],"MMM"))</f>
        <v>Apr</v>
      </c>
      <c r="T22">
        <f>YEAR(LO[[#This Row],[DT Venc]])</f>
        <v>2026</v>
      </c>
      <c r="U22" t="str">
        <f>IFERROR(VLOOKUP(LO[[#This Row],[CATEGORIA]],TabCategoria[],2,FALSE),"")</f>
        <v/>
      </c>
      <c r="V22" t="str">
        <f>IF(LO[[#This Row],[CONTA/CARTAO]]="Cartão","Cartão",IF(LO[[#This Row],[CATEGORIA]]="Pagamento de Cartão","Fatura",""))</f>
        <v/>
      </c>
      <c r="W22">
        <f>IF(LO[[#This Row],[Tipo]]="Receita",LO[[#This Row],[Valor]],IF(LO[[#This Row],[Tipo]]="Despesa",-LO[[#This Row],[Valor]],0))</f>
        <v>0</v>
      </c>
    </row>
    <row r="23" spans="2:23" hidden="1" x14ac:dyDescent="0.3">
      <c r="B23" s="11">
        <v>46083</v>
      </c>
      <c r="C23" s="11">
        <v>46122</v>
      </c>
      <c r="D23" t="s">
        <v>292</v>
      </c>
      <c r="E23" s="13">
        <v>120</v>
      </c>
      <c r="F23" t="s">
        <v>284</v>
      </c>
      <c r="G23" t="s">
        <v>280</v>
      </c>
      <c r="H23" t="s">
        <v>355</v>
      </c>
      <c r="J23" t="str">
        <f>IFERROR(VLOOKUP(LO[[#This Row],[Descrição]],TabCategoria[],2,FALSE),"")</f>
        <v>NÃO OPERACIONAL</v>
      </c>
      <c r="K23" t="str">
        <f>IFERROR(VLOOKUP(LO[[#This Row],[Descrição]],TabCategoria[],3,FALSE),"")</f>
        <v>DESPESA</v>
      </c>
      <c r="L23" t="str">
        <f>IFERROR(VLOOKUP(LO[[#This Row],[Descrição]],TabCategoria[],4,FALSE),"")</f>
        <v>Lazer</v>
      </c>
      <c r="M23" t="str">
        <f>IFERROR(VLOOKUP(LO[[#This Row],[Descrição]],TabCategoria[],5,FALSE),"")</f>
        <v>PLACA MAE</v>
      </c>
      <c r="N23">
        <f>SUMIFS(TabCategoria[Meta Mês],TabCategoria[Categoria],LO[[#This Row],[CATEGORIA]])</f>
        <v>0</v>
      </c>
      <c r="O23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3" t="str">
        <f>IFERROR(INDEX(TabInst[TIPO],MATCH(LO[[#This Row],[INSTITUIÇÃO]],TabInst[DESCRIÇÃO],0)),"")</f>
        <v/>
      </c>
      <c r="R23" t="str">
        <f>IFERROR(INDEX(TabInst[INSTITUIÇÃO],MATCH(LO[[#This Row],[INSTITUIÇÃO]],TabInst[DESCRIÇÃO],0)),"")</f>
        <v/>
      </c>
      <c r="S23" t="str">
        <f>PROPER(TEXT(LO[[#This Row],[DT Venc]],"MMM"))</f>
        <v>Apr</v>
      </c>
      <c r="T23">
        <f>YEAR(LO[[#This Row],[DT Venc]])</f>
        <v>2026</v>
      </c>
      <c r="U23" t="str">
        <f>IFERROR(VLOOKUP(LO[[#This Row],[CATEGORIA]],TabCategoria[],2,FALSE),"")</f>
        <v/>
      </c>
      <c r="V23" t="str">
        <f>IF(LO[[#This Row],[CONTA/CARTAO]]="Cartão","Cartão",IF(LO[[#This Row],[CATEGORIA]]="Pagamento de Cartão","Fatura",""))</f>
        <v/>
      </c>
      <c r="W23">
        <f>IF(LO[[#This Row],[Tipo]]="Receita",LO[[#This Row],[Valor]],IF(LO[[#This Row],[Tipo]]="Despesa",-LO[[#This Row],[Valor]],0))</f>
        <v>-120</v>
      </c>
    </row>
    <row r="24" spans="2:23" hidden="1" x14ac:dyDescent="0.3">
      <c r="B24" s="11">
        <v>46083</v>
      </c>
      <c r="C24" s="11">
        <v>46122</v>
      </c>
      <c r="D24" t="s">
        <v>295</v>
      </c>
      <c r="E24" s="13">
        <v>75.709999999999994</v>
      </c>
      <c r="F24" t="s">
        <v>284</v>
      </c>
      <c r="G24" t="s">
        <v>282</v>
      </c>
      <c r="H24" t="s">
        <v>355</v>
      </c>
      <c r="J24" t="str">
        <f>IFERROR(VLOOKUP(LO[[#This Row],[Descrição]],TabCategoria[],2,FALSE),"")</f>
        <v>NÃO OPERACIONAL</v>
      </c>
      <c r="K24" t="str">
        <f>IFERROR(VLOOKUP(LO[[#This Row],[Descrição]],TabCategoria[],3,FALSE),"")</f>
        <v>DESPESA</v>
      </c>
      <c r="L24" t="str">
        <f>IFERROR(VLOOKUP(LO[[#This Row],[Descrição]],TabCategoria[],4,FALSE),"")</f>
        <v>Lazer</v>
      </c>
      <c r="M24" t="str">
        <f>IFERROR(VLOOKUP(LO[[#This Row],[Descrição]],TabCategoria[],5,FALSE),"")</f>
        <v>SHOPEE</v>
      </c>
      <c r="N24">
        <f>SUMIFS(TabCategoria[Meta Mês],TabCategoria[Categoria],LO[[#This Row],[CATEGORIA]])</f>
        <v>0</v>
      </c>
      <c r="O24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4" t="str">
        <f>IFERROR(INDEX(TabInst[TIPO],MATCH(LO[[#This Row],[INSTITUIÇÃO]],TabInst[DESCRIÇÃO],0)),"")</f>
        <v/>
      </c>
      <c r="R24" t="str">
        <f>IFERROR(INDEX(TabInst[INSTITUIÇÃO],MATCH(LO[[#This Row],[INSTITUIÇÃO]],TabInst[DESCRIÇÃO],0)),"")</f>
        <v/>
      </c>
      <c r="S24" t="str">
        <f>PROPER(TEXT(LO[[#This Row],[DT Venc]],"MMM"))</f>
        <v>Apr</v>
      </c>
      <c r="T24">
        <f>YEAR(LO[[#This Row],[DT Venc]])</f>
        <v>2026</v>
      </c>
      <c r="U24" t="str">
        <f>IFERROR(VLOOKUP(LO[[#This Row],[CATEGORIA]],TabCategoria[],2,FALSE),"")</f>
        <v/>
      </c>
      <c r="V24" t="str">
        <f>IF(LO[[#This Row],[CONTA/CARTAO]]="Cartão","Cartão",IF(LO[[#This Row],[CATEGORIA]]="Pagamento de Cartão","Fatura",""))</f>
        <v/>
      </c>
      <c r="W24">
        <f>IF(LO[[#This Row],[Tipo]]="Receita",LO[[#This Row],[Valor]],IF(LO[[#This Row],[Tipo]]="Despesa",-LO[[#This Row],[Valor]],0))</f>
        <v>-75.709999999999994</v>
      </c>
    </row>
    <row r="25" spans="2:23" hidden="1" x14ac:dyDescent="0.3">
      <c r="B25" s="11">
        <v>46083</v>
      </c>
      <c r="C25" s="11">
        <v>46122</v>
      </c>
      <c r="D25" t="s">
        <v>296</v>
      </c>
      <c r="E25" s="13">
        <v>67.28</v>
      </c>
      <c r="F25" t="s">
        <v>284</v>
      </c>
      <c r="G25" t="s">
        <v>282</v>
      </c>
      <c r="H25" t="s">
        <v>355</v>
      </c>
      <c r="J25" t="str">
        <f>IFERROR(VLOOKUP(LO[[#This Row],[Descrição]],TabCategoria[],2,FALSE),"")</f>
        <v>NÃO OPERACIONAL</v>
      </c>
      <c r="K25" t="str">
        <f>IFERROR(VLOOKUP(LO[[#This Row],[Descrição]],TabCategoria[],3,FALSE),"")</f>
        <v>DESPESA</v>
      </c>
      <c r="L25" t="str">
        <f>IFERROR(VLOOKUP(LO[[#This Row],[Descrição]],TabCategoria[],4,FALSE),"")</f>
        <v>Lazer</v>
      </c>
      <c r="M25" t="str">
        <f>IFERROR(VLOOKUP(LO[[#This Row],[Descrição]],TabCategoria[],5,FALSE),"")</f>
        <v>SHEIN</v>
      </c>
      <c r="N25">
        <f>SUMIFS(TabCategoria[Meta Mês],TabCategoria[Categoria],LO[[#This Row],[CATEGORIA]])</f>
        <v>0</v>
      </c>
      <c r="O25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5" t="str">
        <f>IFERROR(INDEX(TabInst[TIPO],MATCH(LO[[#This Row],[INSTITUIÇÃO]],TabInst[DESCRIÇÃO],0)),"")</f>
        <v/>
      </c>
      <c r="R25" t="str">
        <f>IFERROR(INDEX(TabInst[INSTITUIÇÃO],MATCH(LO[[#This Row],[INSTITUIÇÃO]],TabInst[DESCRIÇÃO],0)),"")</f>
        <v/>
      </c>
      <c r="S25" t="str">
        <f>PROPER(TEXT(LO[[#This Row],[DT Venc]],"MMM"))</f>
        <v>Apr</v>
      </c>
      <c r="T25">
        <f>YEAR(LO[[#This Row],[DT Venc]])</f>
        <v>2026</v>
      </c>
      <c r="U25" t="str">
        <f>IFERROR(VLOOKUP(LO[[#This Row],[CATEGORIA]],TabCategoria[],2,FALSE),"")</f>
        <v/>
      </c>
      <c r="V25" t="str">
        <f>IF(LO[[#This Row],[CONTA/CARTAO]]="Cartão","Cartão",IF(LO[[#This Row],[CATEGORIA]]="Pagamento de Cartão","Fatura",""))</f>
        <v/>
      </c>
      <c r="W25">
        <f>IF(LO[[#This Row],[Tipo]]="Receita",LO[[#This Row],[Valor]],IF(LO[[#This Row],[Tipo]]="Despesa",-LO[[#This Row],[Valor]],0))</f>
        <v>-67.28</v>
      </c>
    </row>
    <row r="26" spans="2:23" hidden="1" x14ac:dyDescent="0.3">
      <c r="B26" s="11">
        <v>46083</v>
      </c>
      <c r="C26" s="11">
        <v>46122</v>
      </c>
      <c r="D26" t="s">
        <v>297</v>
      </c>
      <c r="E26" s="13">
        <v>89</v>
      </c>
      <c r="F26" t="s">
        <v>284</v>
      </c>
      <c r="G26" t="s">
        <v>280</v>
      </c>
      <c r="H26" t="s">
        <v>355</v>
      </c>
      <c r="J26" t="str">
        <f>IFERROR(VLOOKUP(LO[[#This Row],[Descrição]],TabCategoria[],2,FALSE),"")</f>
        <v>NÃO OPERACIONAL</v>
      </c>
      <c r="K26" t="str">
        <f>IFERROR(VLOOKUP(LO[[#This Row],[Descrição]],TabCategoria[],3,FALSE),"")</f>
        <v>DESPESA</v>
      </c>
      <c r="L26" t="str">
        <f>IFERROR(VLOOKUP(LO[[#This Row],[Descrição]],TabCategoria[],4,FALSE),"")</f>
        <v>Lazer</v>
      </c>
      <c r="M26" t="str">
        <f>IFERROR(VLOOKUP(LO[[#This Row],[Descrição]],TabCategoria[],5,FALSE),"")</f>
        <v>TECLADO</v>
      </c>
      <c r="N26">
        <f>SUMIFS(TabCategoria[Meta Mês],TabCategoria[Categoria],LO[[#This Row],[CATEGORIA]])</f>
        <v>0</v>
      </c>
      <c r="O26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6" t="str">
        <f>IFERROR(INDEX(TabInst[TIPO],MATCH(LO[[#This Row],[INSTITUIÇÃO]],TabInst[DESCRIÇÃO],0)),"")</f>
        <v/>
      </c>
      <c r="R26" t="str">
        <f>IFERROR(INDEX(TabInst[INSTITUIÇÃO],MATCH(LO[[#This Row],[INSTITUIÇÃO]],TabInst[DESCRIÇÃO],0)),"")</f>
        <v/>
      </c>
      <c r="S26" t="str">
        <f>PROPER(TEXT(LO[[#This Row],[DT Venc]],"MMM"))</f>
        <v>Apr</v>
      </c>
      <c r="T26">
        <f>YEAR(LO[[#This Row],[DT Venc]])</f>
        <v>2026</v>
      </c>
      <c r="U26" t="str">
        <f>IFERROR(VLOOKUP(LO[[#This Row],[CATEGORIA]],TabCategoria[],2,FALSE),"")</f>
        <v/>
      </c>
      <c r="V26" t="str">
        <f>IF(LO[[#This Row],[CONTA/CARTAO]]="Cartão","Cartão",IF(LO[[#This Row],[CATEGORIA]]="Pagamento de Cartão","Fatura",""))</f>
        <v/>
      </c>
      <c r="W26">
        <f>IF(LO[[#This Row],[Tipo]]="Receita",LO[[#This Row],[Valor]],IF(LO[[#This Row],[Tipo]]="Despesa",-LO[[#This Row],[Valor]],0))</f>
        <v>-89</v>
      </c>
    </row>
    <row r="27" spans="2:23" hidden="1" x14ac:dyDescent="0.3">
      <c r="B27" s="11">
        <v>46083</v>
      </c>
      <c r="C27" s="11">
        <v>46122</v>
      </c>
      <c r="D27" t="s">
        <v>298</v>
      </c>
      <c r="E27" s="13">
        <v>320</v>
      </c>
      <c r="F27" t="s">
        <v>284</v>
      </c>
      <c r="G27" t="s">
        <v>282</v>
      </c>
      <c r="H27" t="s">
        <v>355</v>
      </c>
      <c r="J27" t="str">
        <f>IFERROR(VLOOKUP(LO[[#This Row],[Descrição]],TabCategoria[],2,FALSE),"")</f>
        <v>NÃO OPERACIONAL</v>
      </c>
      <c r="K27" t="str">
        <f>IFERROR(VLOOKUP(LO[[#This Row],[Descrição]],TabCategoria[],3,FALSE),"")</f>
        <v>DESPESA</v>
      </c>
      <c r="L27" t="str">
        <f>IFERROR(VLOOKUP(LO[[#This Row],[Descrição]],TabCategoria[],4,FALSE),"")</f>
        <v>Lazer</v>
      </c>
      <c r="M27" t="str">
        <f>IFERROR(VLOOKUP(LO[[#This Row],[Descrição]],TabCategoria[],5,FALSE),"")</f>
        <v>ANIVERSARIO DE NAMORO</v>
      </c>
      <c r="N27">
        <f>SUMIFS(TabCategoria[Meta Mês],TabCategoria[Categoria],LO[[#This Row],[CATEGORIA]])</f>
        <v>0</v>
      </c>
      <c r="O27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7" t="str">
        <f>IFERROR(INDEX(TabInst[TIPO],MATCH(LO[[#This Row],[INSTITUIÇÃO]],TabInst[DESCRIÇÃO],0)),"")</f>
        <v/>
      </c>
      <c r="R27" t="str">
        <f>IFERROR(INDEX(TabInst[INSTITUIÇÃO],MATCH(LO[[#This Row],[INSTITUIÇÃO]],TabInst[DESCRIÇÃO],0)),"")</f>
        <v/>
      </c>
      <c r="S27" t="str">
        <f>PROPER(TEXT(LO[[#This Row],[DT Venc]],"MMM"))</f>
        <v>Apr</v>
      </c>
      <c r="T27">
        <f>YEAR(LO[[#This Row],[DT Venc]])</f>
        <v>2026</v>
      </c>
      <c r="U27" t="str">
        <f>IFERROR(VLOOKUP(LO[[#This Row],[CATEGORIA]],TabCategoria[],2,FALSE),"")</f>
        <v/>
      </c>
      <c r="V27" t="str">
        <f>IF(LO[[#This Row],[CONTA/CARTAO]]="Cartão","Cartão",IF(LO[[#This Row],[CATEGORIA]]="Pagamento de Cartão","Fatura",""))</f>
        <v/>
      </c>
      <c r="W27">
        <f>IF(LO[[#This Row],[Tipo]]="Receita",LO[[#This Row],[Valor]],IF(LO[[#This Row],[Tipo]]="Despesa",-LO[[#This Row],[Valor]],0))</f>
        <v>-320</v>
      </c>
    </row>
    <row r="28" spans="2:23" hidden="1" x14ac:dyDescent="0.3">
      <c r="B28" s="11">
        <v>46083</v>
      </c>
      <c r="C28" s="11">
        <v>46122</v>
      </c>
      <c r="D28" t="s">
        <v>299</v>
      </c>
      <c r="E28" s="13">
        <v>191.05</v>
      </c>
      <c r="F28" t="s">
        <v>284</v>
      </c>
      <c r="G28" t="s">
        <v>282</v>
      </c>
      <c r="H28" t="s">
        <v>355</v>
      </c>
      <c r="J28" t="str">
        <f>IFERROR(VLOOKUP(LO[[#This Row],[Descrição]],TabCategoria[],2,FALSE),"")</f>
        <v>NÃO OPERACIONAL</v>
      </c>
      <c r="K28" t="str">
        <f>IFERROR(VLOOKUP(LO[[#This Row],[Descrição]],TabCategoria[],3,FALSE),"")</f>
        <v>DESPESA</v>
      </c>
      <c r="L28" t="str">
        <f>IFERROR(VLOOKUP(LO[[#This Row],[Descrição]],TabCategoria[],4,FALSE),"")</f>
        <v>Lazer</v>
      </c>
      <c r="M28" t="str">
        <f>IFERROR(VLOOKUP(LO[[#This Row],[Descrição]],TabCategoria[],5,FALSE),"")</f>
        <v>DIA DIA(Yasmin)</v>
      </c>
      <c r="N28">
        <f>SUMIFS(TabCategoria[Meta Mês],TabCategoria[Categoria],LO[[#This Row],[CATEGORIA]])</f>
        <v>0</v>
      </c>
      <c r="O28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8" t="str">
        <f>IFERROR(INDEX(TabInst[TIPO],MATCH(LO[[#This Row],[INSTITUIÇÃO]],TabInst[DESCRIÇÃO],0)),"")</f>
        <v/>
      </c>
      <c r="R28" t="str">
        <f>IFERROR(INDEX(TabInst[INSTITUIÇÃO],MATCH(LO[[#This Row],[INSTITUIÇÃO]],TabInst[DESCRIÇÃO],0)),"")</f>
        <v/>
      </c>
      <c r="S28" t="str">
        <f>PROPER(TEXT(LO[[#This Row],[DT Venc]],"MMM"))</f>
        <v>Apr</v>
      </c>
      <c r="T28">
        <f>YEAR(LO[[#This Row],[DT Venc]])</f>
        <v>2026</v>
      </c>
      <c r="U28" t="str">
        <f>IFERROR(VLOOKUP(LO[[#This Row],[CATEGORIA]],TabCategoria[],2,FALSE),"")</f>
        <v/>
      </c>
      <c r="V28" t="str">
        <f>IF(LO[[#This Row],[CONTA/CARTAO]]="Cartão","Cartão",IF(LO[[#This Row],[CATEGORIA]]="Pagamento de Cartão","Fatura",""))</f>
        <v/>
      </c>
      <c r="W28">
        <f>IF(LO[[#This Row],[Tipo]]="Receita",LO[[#This Row],[Valor]],IF(LO[[#This Row],[Tipo]]="Despesa",-LO[[#This Row],[Valor]],0))</f>
        <v>-191.05</v>
      </c>
    </row>
    <row r="29" spans="2:23" hidden="1" x14ac:dyDescent="0.3">
      <c r="B29" s="11">
        <v>46083</v>
      </c>
      <c r="C29" s="11">
        <v>46122</v>
      </c>
      <c r="D29" t="s">
        <v>300</v>
      </c>
      <c r="E29" s="13">
        <v>133</v>
      </c>
      <c r="F29" t="s">
        <v>284</v>
      </c>
      <c r="G29" t="s">
        <v>282</v>
      </c>
      <c r="H29" t="s">
        <v>355</v>
      </c>
      <c r="J29" t="str">
        <f>IFERROR(VLOOKUP(LO[[#This Row],[Descrição]],TabCategoria[],2,FALSE),"")</f>
        <v>NÃO OPERACIONAL</v>
      </c>
      <c r="K29" t="str">
        <f>IFERROR(VLOOKUP(LO[[#This Row],[Descrição]],TabCategoria[],3,FALSE),"")</f>
        <v>DESPESA</v>
      </c>
      <c r="L29" t="str">
        <f>IFERROR(VLOOKUP(LO[[#This Row],[Descrição]],TabCategoria[],4,FALSE),"")</f>
        <v>Lazer</v>
      </c>
      <c r="M29" t="str">
        <f>IFERROR(VLOOKUP(LO[[#This Row],[Descrição]],TabCategoria[],5,FALSE),"")</f>
        <v>DROGASIL(YASMIN)</v>
      </c>
      <c r="N29">
        <f>SUMIFS(TabCategoria[Meta Mês],TabCategoria[Categoria],LO[[#This Row],[CATEGORIA]])</f>
        <v>0</v>
      </c>
      <c r="O29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2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9" t="str">
        <f>IFERROR(INDEX(TabInst[TIPO],MATCH(LO[[#This Row],[INSTITUIÇÃO]],TabInst[DESCRIÇÃO],0)),"")</f>
        <v/>
      </c>
      <c r="R29" t="str">
        <f>IFERROR(INDEX(TabInst[INSTITUIÇÃO],MATCH(LO[[#This Row],[INSTITUIÇÃO]],TabInst[DESCRIÇÃO],0)),"")</f>
        <v/>
      </c>
      <c r="S29" t="str">
        <f>PROPER(TEXT(LO[[#This Row],[DT Venc]],"MMM"))</f>
        <v>Apr</v>
      </c>
      <c r="T29">
        <f>YEAR(LO[[#This Row],[DT Venc]])</f>
        <v>2026</v>
      </c>
      <c r="U29" t="str">
        <f>IFERROR(VLOOKUP(LO[[#This Row],[CATEGORIA]],TabCategoria[],2,FALSE),"")</f>
        <v/>
      </c>
      <c r="V29" t="str">
        <f>IF(LO[[#This Row],[CONTA/CARTAO]]="Cartão","Cartão",IF(LO[[#This Row],[CATEGORIA]]="Pagamento de Cartão","Fatura",""))</f>
        <v/>
      </c>
      <c r="W29">
        <f>IF(LO[[#This Row],[Tipo]]="Receita",LO[[#This Row],[Valor]],IF(LO[[#This Row],[Tipo]]="Despesa",-LO[[#This Row],[Valor]],0))</f>
        <v>-133</v>
      </c>
    </row>
    <row r="30" spans="2:23" hidden="1" x14ac:dyDescent="0.3">
      <c r="B30" s="11">
        <v>46083</v>
      </c>
      <c r="C30" s="11">
        <v>46122</v>
      </c>
      <c r="D30" t="s">
        <v>301</v>
      </c>
      <c r="E30" s="13">
        <v>200</v>
      </c>
      <c r="F30" t="s">
        <v>284</v>
      </c>
      <c r="G30" t="s">
        <v>280</v>
      </c>
      <c r="H30" t="s">
        <v>355</v>
      </c>
      <c r="J30" t="str">
        <f>IFERROR(VLOOKUP(LO[[#This Row],[Descrição]],TabCategoria[],2,FALSE),"")</f>
        <v>NÃO OPERACIONAL</v>
      </c>
      <c r="K30" t="str">
        <f>IFERROR(VLOOKUP(LO[[#This Row],[Descrição]],TabCategoria[],3,FALSE),"")</f>
        <v>DESPESA</v>
      </c>
      <c r="L30" t="str">
        <f>IFERROR(VLOOKUP(LO[[#This Row],[Descrição]],TabCategoria[],4,FALSE),"")</f>
        <v>Lazer</v>
      </c>
      <c r="M30" t="str">
        <f>IFERROR(VLOOKUP(LO[[#This Row],[Descrição]],TabCategoria[],5,FALSE),"")</f>
        <v>TECLADO E MOUSE</v>
      </c>
      <c r="N30">
        <f>SUMIFS(TabCategoria[Meta Mês],TabCategoria[Categoria],LO[[#This Row],[CATEGORIA]])</f>
        <v>0</v>
      </c>
      <c r="O30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3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0" t="str">
        <f>IFERROR(INDEX(TabInst[TIPO],MATCH(LO[[#This Row],[INSTITUIÇÃO]],TabInst[DESCRIÇÃO],0)),"")</f>
        <v/>
      </c>
      <c r="R30" t="str">
        <f>IFERROR(INDEX(TabInst[INSTITUIÇÃO],MATCH(LO[[#This Row],[INSTITUIÇÃO]],TabInst[DESCRIÇÃO],0)),"")</f>
        <v/>
      </c>
      <c r="S30" t="str">
        <f>PROPER(TEXT(LO[[#This Row],[DT Venc]],"MMM"))</f>
        <v>Apr</v>
      </c>
      <c r="T30">
        <f>YEAR(LO[[#This Row],[DT Venc]])</f>
        <v>2026</v>
      </c>
      <c r="U30" t="str">
        <f>IFERROR(VLOOKUP(LO[[#This Row],[CATEGORIA]],TabCategoria[],2,FALSE),"")</f>
        <v/>
      </c>
      <c r="V30" t="str">
        <f>IF(LO[[#This Row],[CONTA/CARTAO]]="Cartão","Cartão",IF(LO[[#This Row],[CATEGORIA]]="Pagamento de Cartão","Fatura",""))</f>
        <v/>
      </c>
      <c r="W30">
        <f>IF(LO[[#This Row],[Tipo]]="Receita",LO[[#This Row],[Valor]],IF(LO[[#This Row],[Tipo]]="Despesa",-LO[[#This Row],[Valor]],0))</f>
        <v>-200</v>
      </c>
    </row>
    <row r="31" spans="2:23" hidden="1" x14ac:dyDescent="0.3">
      <c r="B31" s="11">
        <v>46083</v>
      </c>
      <c r="C31" s="11">
        <v>46122</v>
      </c>
      <c r="D31" t="s">
        <v>307</v>
      </c>
      <c r="E31" s="13">
        <v>1000</v>
      </c>
      <c r="F31" t="s">
        <v>284</v>
      </c>
      <c r="G31" t="s">
        <v>280</v>
      </c>
      <c r="H31" t="s">
        <v>355</v>
      </c>
      <c r="J31" t="str">
        <f>IFERROR(VLOOKUP(LO[[#This Row],[Descrição]],TabCategoria[],2,FALSE),"")</f>
        <v>NÃO OPERACIONAL</v>
      </c>
      <c r="K31" t="str">
        <f>IFERROR(VLOOKUP(LO[[#This Row],[Descrição]],TabCategoria[],3,FALSE),"")</f>
        <v>RECEITA</v>
      </c>
      <c r="L31" t="str">
        <f>IFERROR(VLOOKUP(LO[[#This Row],[Descrição]],TabCategoria[],4,FALSE),"")</f>
        <v>Lazer</v>
      </c>
      <c r="M31" t="str">
        <f>IFERROR(VLOOKUP(LO[[#This Row],[Descrição]],TabCategoria[],5,FALSE),"")</f>
        <v>ESTRORNO TECLADO E MOUSE</v>
      </c>
      <c r="N31">
        <f>SUMIFS(TabCategoria[Meta Mês],TabCategoria[Categoria],LO[[#This Row],[CATEGORIA]])</f>
        <v>0</v>
      </c>
      <c r="O31" s="68">
        <f>SUMIFS(LO[Valor],LO[CATEGORIA],LO[[#This Row],[CATEGORIA]],LO[ANO],LO[[#This Row],[ANO]],LO[MÊS],LO[[#This Row],[MÊS]])
/COUNTIFS(LO[CATEGORIA],LO[[#This Row],[CATEGORIA]],LO[ANO],LO[[#This Row],[ANO]],LO[MÊS],LO[[#This Row],[MÊS]])</f>
        <v>187.78933333333333</v>
      </c>
      <c r="P3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1" t="str">
        <f>IFERROR(INDEX(TabInst[TIPO],MATCH(LO[[#This Row],[INSTITUIÇÃO]],TabInst[DESCRIÇÃO],0)),"")</f>
        <v/>
      </c>
      <c r="R31" t="str">
        <f>IFERROR(INDEX(TabInst[INSTITUIÇÃO],MATCH(LO[[#This Row],[INSTITUIÇÃO]],TabInst[DESCRIÇÃO],0)),"")</f>
        <v/>
      </c>
      <c r="S31" t="str">
        <f>PROPER(TEXT(LO[[#This Row],[DT Venc]],"MMM"))</f>
        <v>Apr</v>
      </c>
      <c r="T31">
        <f>YEAR(LO[[#This Row],[DT Venc]])</f>
        <v>2026</v>
      </c>
      <c r="U31" t="str">
        <f>IFERROR(VLOOKUP(LO[[#This Row],[CATEGORIA]],TabCategoria[],2,FALSE),"")</f>
        <v/>
      </c>
      <c r="V31" t="str">
        <f>IF(LO[[#This Row],[CONTA/CARTAO]]="Cartão","Cartão",IF(LO[[#This Row],[CATEGORIA]]="Pagamento de Cartão","Fatura",""))</f>
        <v/>
      </c>
      <c r="W31">
        <f>IF(LO[[#This Row],[Tipo]]="Receita",LO[[#This Row],[Valor]],IF(LO[[#This Row],[Tipo]]="Despesa",-LO[[#This Row],[Valor]],0))</f>
        <v>1000</v>
      </c>
    </row>
    <row r="32" spans="2:23" hidden="1" x14ac:dyDescent="0.3">
      <c r="B32" s="11">
        <v>46097</v>
      </c>
      <c r="C32" s="11">
        <v>46122</v>
      </c>
      <c r="D32" t="s">
        <v>302</v>
      </c>
      <c r="E32" s="28">
        <v>2400</v>
      </c>
      <c r="F32" t="s">
        <v>284</v>
      </c>
      <c r="G32" t="s">
        <v>304</v>
      </c>
      <c r="H32" t="s">
        <v>355</v>
      </c>
      <c r="J32" t="str">
        <f>IFERROR(VLOOKUP(LO[[#This Row],[Descrição]],TabCategoria[],2,FALSE),"")</f>
        <v>OPERACIONAL</v>
      </c>
      <c r="K32" t="str">
        <f>IFERROR(VLOOKUP(LO[[#This Row],[Descrição]],TabCategoria[],3,FALSE),"")</f>
        <v>RECEITA</v>
      </c>
      <c r="L32" t="str">
        <f>IFERROR(VLOOKUP(LO[[#This Row],[Descrição]],TabCategoria[],4,FALSE),"")</f>
        <v>Renda Principal</v>
      </c>
      <c r="M32" t="str">
        <f>IFERROR(VLOOKUP(LO[[#This Row],[Descrição]],TabCategoria[],5,FALSE),"")</f>
        <v>Salário Principal</v>
      </c>
      <c r="N32">
        <f>SUMIFS(TabCategoria[Meta Mês],TabCategoria[Categoria],LO[[#This Row],[CATEGORIA]])</f>
        <v>0</v>
      </c>
      <c r="O32" s="68">
        <f>SUMIFS(LO[Valor],LO[CATEGORIA],LO[[#This Row],[CATEGORIA]],LO[ANO],LO[[#This Row],[ANO]],LO[MÊS],LO[[#This Row],[MÊS]])
/COUNTIFS(LO[CATEGORIA],LO[[#This Row],[CATEGORIA]],LO[ANO],LO[[#This Row],[ANO]],LO[MÊS],LO[[#This Row],[MÊS]])</f>
        <v>2400</v>
      </c>
      <c r="P3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2" t="str">
        <f>IFERROR(INDEX(TabInst[TIPO],MATCH(LO[[#This Row],[INSTITUIÇÃO]],TabInst[DESCRIÇÃO],0)),"")</f>
        <v/>
      </c>
      <c r="R32" t="str">
        <f>IFERROR(INDEX(TabInst[INSTITUIÇÃO],MATCH(LO[[#This Row],[INSTITUIÇÃO]],TabInst[DESCRIÇÃO],0)),"")</f>
        <v/>
      </c>
      <c r="S32" t="str">
        <f>PROPER(TEXT(LO[[#This Row],[DT Venc]],"MMM"))</f>
        <v>Apr</v>
      </c>
      <c r="T32">
        <f>YEAR(LO[[#This Row],[DT Venc]])</f>
        <v>2026</v>
      </c>
      <c r="U32" t="str">
        <f>IFERROR(VLOOKUP(LO[[#This Row],[CATEGORIA]],TabCategoria[],2,FALSE),"")</f>
        <v/>
      </c>
      <c r="V32" t="str">
        <f>IF(LO[[#This Row],[CONTA/CARTAO]]="Cartão","Cartão",IF(LO[[#This Row],[CATEGORIA]]="Pagamento de Cartão","Fatura",""))</f>
        <v/>
      </c>
      <c r="W32">
        <f>IF(LO[[#This Row],[Tipo]]="Receita",LO[[#This Row],[Valor]],IF(LO[[#This Row],[Tipo]]="Despesa",-LO[[#This Row],[Valor]],0))</f>
        <v>2400</v>
      </c>
    </row>
    <row r="33" spans="2:23" hidden="1" x14ac:dyDescent="0.3">
      <c r="B33" s="11">
        <v>46097</v>
      </c>
      <c r="C33" s="11">
        <v>46122</v>
      </c>
      <c r="D33" t="s">
        <v>303</v>
      </c>
      <c r="E33" s="28">
        <v>100</v>
      </c>
      <c r="F33" t="s">
        <v>284</v>
      </c>
      <c r="G33" t="s">
        <v>305</v>
      </c>
      <c r="H33" t="s">
        <v>355</v>
      </c>
      <c r="J33" t="str">
        <f>IFERROR(VLOOKUP(LO[[#This Row],[Descrição]],TabCategoria[],2,FALSE),"")</f>
        <v>OPERACIONAL</v>
      </c>
      <c r="K33" t="str">
        <f>IFERROR(VLOOKUP(LO[[#This Row],[Descrição]],TabCategoria[],3,FALSE),"")</f>
        <v>RECEITA</v>
      </c>
      <c r="L33" t="str">
        <f>IFERROR(VLOOKUP(LO[[#This Row],[Descrição]],TabCategoria[],4,FALSE),"")</f>
        <v>Renda Extra</v>
      </c>
      <c r="M33" t="str">
        <f>IFERROR(VLOOKUP(LO[[#This Row],[Descrição]],TabCategoria[],5,FALSE),"")</f>
        <v>Outras fontes de renda</v>
      </c>
      <c r="N33">
        <f>SUMIFS(TabCategoria[Meta Mês],TabCategoria[Categoria],LO[[#This Row],[CATEGORIA]])</f>
        <v>0</v>
      </c>
      <c r="O33" s="68">
        <f>SUMIFS(LO[Valor],LO[CATEGORIA],LO[[#This Row],[CATEGORIA]],LO[ANO],LO[[#This Row],[ANO]],LO[MÊS],LO[[#This Row],[MÊS]])
/COUNTIFS(LO[CATEGORIA],LO[[#This Row],[CATEGORIA]],LO[ANO],LO[[#This Row],[ANO]],LO[MÊS],LO[[#This Row],[MÊS]])</f>
        <v>130.785</v>
      </c>
      <c r="P3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3" t="str">
        <f>IFERROR(INDEX(TabInst[TIPO],MATCH(LO[[#This Row],[INSTITUIÇÃO]],TabInst[DESCRIÇÃO],0)),"")</f>
        <v/>
      </c>
      <c r="R33" t="str">
        <f>IFERROR(INDEX(TabInst[INSTITUIÇÃO],MATCH(LO[[#This Row],[INSTITUIÇÃO]],TabInst[DESCRIÇÃO],0)),"")</f>
        <v/>
      </c>
      <c r="S33" t="str">
        <f>PROPER(TEXT(LO[[#This Row],[DT Venc]],"MMM"))</f>
        <v>Apr</v>
      </c>
      <c r="T33">
        <f>YEAR(LO[[#This Row],[DT Venc]])</f>
        <v>2026</v>
      </c>
      <c r="U33" t="str">
        <f>IFERROR(VLOOKUP(LO[[#This Row],[CATEGORIA]],TabCategoria[],2,FALSE),"")</f>
        <v/>
      </c>
      <c r="V33" t="str">
        <f>IF(LO[[#This Row],[CONTA/CARTAO]]="Cartão","Cartão",IF(LO[[#This Row],[CATEGORIA]]="Pagamento de Cartão","Fatura",""))</f>
        <v/>
      </c>
      <c r="W33">
        <f>IF(LO[[#This Row],[Tipo]]="Receita",LO[[#This Row],[Valor]],IF(LO[[#This Row],[Tipo]]="Despesa",-LO[[#This Row],[Valor]],0))</f>
        <v>100</v>
      </c>
    </row>
    <row r="34" spans="2:23" hidden="1" x14ac:dyDescent="0.3">
      <c r="B34" s="11">
        <v>46097</v>
      </c>
      <c r="C34" s="11">
        <v>46122</v>
      </c>
      <c r="D34" t="s">
        <v>303</v>
      </c>
      <c r="E34" s="28">
        <v>161.57</v>
      </c>
      <c r="F34" t="s">
        <v>284</v>
      </c>
      <c r="G34" t="s">
        <v>282</v>
      </c>
      <c r="H34" t="s">
        <v>355</v>
      </c>
      <c r="J34" t="str">
        <f>IFERROR(VLOOKUP(LO[[#This Row],[Descrição]],TabCategoria[],2,FALSE),"")</f>
        <v>OPERACIONAL</v>
      </c>
      <c r="K34" t="str">
        <f>IFERROR(VLOOKUP(LO[[#This Row],[Descrição]],TabCategoria[],3,FALSE),"")</f>
        <v>RECEITA</v>
      </c>
      <c r="L34" t="str">
        <f>IFERROR(VLOOKUP(LO[[#This Row],[Descrição]],TabCategoria[],4,FALSE),"")</f>
        <v>Renda Extra</v>
      </c>
      <c r="M34" t="str">
        <f>IFERROR(VLOOKUP(LO[[#This Row],[Descrição]],TabCategoria[],5,FALSE),"")</f>
        <v>Outras fontes de renda</v>
      </c>
      <c r="N34">
        <f>SUMIFS(TabCategoria[Meta Mês],TabCategoria[Categoria],LO[[#This Row],[CATEGORIA]])</f>
        <v>0</v>
      </c>
      <c r="O34" s="68">
        <f>SUMIFS(LO[Valor],LO[CATEGORIA],LO[[#This Row],[CATEGORIA]],LO[ANO],LO[[#This Row],[ANO]],LO[MÊS],LO[[#This Row],[MÊS]])
/COUNTIFS(LO[CATEGORIA],LO[[#This Row],[CATEGORIA]],LO[ANO],LO[[#This Row],[ANO]],LO[MÊS],LO[[#This Row],[MÊS]])</f>
        <v>130.785</v>
      </c>
      <c r="P3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4" t="str">
        <f>IFERROR(INDEX(TabInst[TIPO],MATCH(LO[[#This Row],[INSTITUIÇÃO]],TabInst[DESCRIÇÃO],0)),"")</f>
        <v/>
      </c>
      <c r="R34" t="str">
        <f>IFERROR(INDEX(TabInst[INSTITUIÇÃO],MATCH(LO[[#This Row],[INSTITUIÇÃO]],TabInst[DESCRIÇÃO],0)),"")</f>
        <v/>
      </c>
      <c r="S34" t="str">
        <f>PROPER(TEXT(LO[[#This Row],[DT Venc]],"MMM"))</f>
        <v>Apr</v>
      </c>
      <c r="T34">
        <f>YEAR(LO[[#This Row],[DT Venc]])</f>
        <v>2026</v>
      </c>
      <c r="U34" t="str">
        <f>IFERROR(VLOOKUP(LO[[#This Row],[CATEGORIA]],TabCategoria[],2,FALSE),"")</f>
        <v/>
      </c>
      <c r="V34" t="str">
        <f>IF(LO[[#This Row],[CONTA/CARTAO]]="Cartão","Cartão",IF(LO[[#This Row],[CATEGORIA]]="Pagamento de Cartão","Fatura",""))</f>
        <v/>
      </c>
      <c r="W34">
        <f>IF(LO[[#This Row],[Tipo]]="Receita",LO[[#This Row],[Valor]],IF(LO[[#This Row],[Tipo]]="Despesa",-LO[[#This Row],[Valor]],0))</f>
        <v>161.57</v>
      </c>
    </row>
    <row r="35" spans="2:23" hidden="1" x14ac:dyDescent="0.3">
      <c r="B35" s="11">
        <v>46097</v>
      </c>
      <c r="C35" s="11">
        <v>46122</v>
      </c>
      <c r="D35" t="s">
        <v>308</v>
      </c>
      <c r="E35" s="28">
        <v>46.89</v>
      </c>
      <c r="F35" t="s">
        <v>284</v>
      </c>
      <c r="G35" t="s">
        <v>282</v>
      </c>
      <c r="H35" t="s">
        <v>355</v>
      </c>
      <c r="J35" t="str">
        <f>IFERROR(VLOOKUP(LO[[#This Row],[Descrição]],TabCategoria[],2,FALSE),"")</f>
        <v>OPERACIONAL</v>
      </c>
      <c r="K35" t="str">
        <f>IFERROR(VLOOKUP(LO[[#This Row],[Descrição]],TabCategoria[],3,FALSE),"")</f>
        <v>DESPESA</v>
      </c>
      <c r="L35" t="str">
        <f>IFERROR(VLOOKUP(LO[[#This Row],[Descrição]],TabCategoria[],4,FALSE),"")</f>
        <v>Alimentação</v>
      </c>
      <c r="M35" t="str">
        <f>IFERROR(VLOOKUP(LO[[#This Row],[Descrição]],TabCategoria[],5,FALSE),"")</f>
        <v>Lanches &amp; Snacks</v>
      </c>
      <c r="N35">
        <f>SUMIFS(TabCategoria[Meta Mês],TabCategoria[Categoria],LO[[#This Row],[CATEGORIA]])</f>
        <v>0</v>
      </c>
      <c r="O35" s="68">
        <f>SUMIFS(LO[Valor],LO[CATEGORIA],LO[[#This Row],[CATEGORIA]],LO[ANO],LO[[#This Row],[ANO]],LO[MÊS],LO[[#This Row],[MÊS]])
/COUNTIFS(LO[CATEGORIA],LO[[#This Row],[CATEGORIA]],LO[ANO],LO[[#This Row],[ANO]],LO[MÊS],LO[[#This Row],[MÊS]])</f>
        <v>47.814999999999998</v>
      </c>
      <c r="P3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5" t="str">
        <f>IFERROR(INDEX(TabInst[TIPO],MATCH(LO[[#This Row],[INSTITUIÇÃO]],TabInst[DESCRIÇÃO],0)),"")</f>
        <v/>
      </c>
      <c r="R35" t="str">
        <f>IFERROR(INDEX(TabInst[INSTITUIÇÃO],MATCH(LO[[#This Row],[INSTITUIÇÃO]],TabInst[DESCRIÇÃO],0)),"")</f>
        <v/>
      </c>
      <c r="S35" t="str">
        <f>PROPER(TEXT(LO[[#This Row],[DT Venc]],"MMM"))</f>
        <v>Apr</v>
      </c>
      <c r="T35">
        <f>YEAR(LO[[#This Row],[DT Venc]])</f>
        <v>2026</v>
      </c>
      <c r="U35" t="str">
        <f>IFERROR(VLOOKUP(LO[[#This Row],[CATEGORIA]],TabCategoria[],2,FALSE),"")</f>
        <v/>
      </c>
      <c r="V35" t="str">
        <f>IF(LO[[#This Row],[CONTA/CARTAO]]="Cartão","Cartão",IF(LO[[#This Row],[CATEGORIA]]="Pagamento de Cartão","Fatura",""))</f>
        <v/>
      </c>
      <c r="W35">
        <f>IF(LO[[#This Row],[Tipo]]="Receita",LO[[#This Row],[Valor]],IF(LO[[#This Row],[Tipo]]="Despesa",-LO[[#This Row],[Valor]],0))</f>
        <v>-46.89</v>
      </c>
    </row>
    <row r="36" spans="2:23" hidden="1" x14ac:dyDescent="0.3">
      <c r="B36" s="11">
        <v>46097</v>
      </c>
      <c r="C36" s="11">
        <v>46122</v>
      </c>
      <c r="D36" t="s">
        <v>309</v>
      </c>
      <c r="E36" s="28">
        <v>45.88</v>
      </c>
      <c r="F36" t="s">
        <v>284</v>
      </c>
      <c r="G36" t="s">
        <v>282</v>
      </c>
      <c r="H36" t="s">
        <v>355</v>
      </c>
      <c r="J36" t="str">
        <f>IFERROR(VLOOKUP(LO[[#This Row],[Descrição]],TabCategoria[],2,FALSE),"")</f>
        <v>OPERACIONAL</v>
      </c>
      <c r="K36" t="str">
        <f>IFERROR(VLOOKUP(LO[[#This Row],[Descrição]],TabCategoria[],3,FALSE),"")</f>
        <v>DESPESA</v>
      </c>
      <c r="L36" t="str">
        <f>IFERROR(VLOOKUP(LO[[#This Row],[Descrição]],TabCategoria[],4,FALSE),"")</f>
        <v>Saúde</v>
      </c>
      <c r="M36" t="str">
        <f>IFERROR(VLOOKUP(LO[[#This Row],[Descrição]],TabCategoria[],5,FALSE),"")</f>
        <v>Medicamentos / Farmácia</v>
      </c>
      <c r="N36">
        <f>SUMIFS(TabCategoria[Meta Mês],TabCategoria[Categoria],LO[[#This Row],[CATEGORIA]])</f>
        <v>0</v>
      </c>
      <c r="O36" s="68">
        <f>SUMIFS(LO[Valor],LO[CATEGORIA],LO[[#This Row],[CATEGORIA]],LO[ANO],LO[[#This Row],[ANO]],LO[MÊS],LO[[#This Row],[MÊS]])
/COUNTIFS(LO[CATEGORIA],LO[[#This Row],[CATEGORIA]],LO[ANO],LO[[#This Row],[ANO]],LO[MÊS],LO[[#This Row],[MÊS]])</f>
        <v>64.41</v>
      </c>
      <c r="P3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6" t="str">
        <f>IFERROR(INDEX(TabInst[TIPO],MATCH(LO[[#This Row],[INSTITUIÇÃO]],TabInst[DESCRIÇÃO],0)),"")</f>
        <v/>
      </c>
      <c r="R36" t="str">
        <f>IFERROR(INDEX(TabInst[INSTITUIÇÃO],MATCH(LO[[#This Row],[INSTITUIÇÃO]],TabInst[DESCRIÇÃO],0)),"")</f>
        <v/>
      </c>
      <c r="S36" t="str">
        <f>PROPER(TEXT(LO[[#This Row],[DT Venc]],"MMM"))</f>
        <v>Apr</v>
      </c>
      <c r="T36">
        <f>YEAR(LO[[#This Row],[DT Venc]])</f>
        <v>2026</v>
      </c>
      <c r="U36" t="str">
        <f>IFERROR(VLOOKUP(LO[[#This Row],[CATEGORIA]],TabCategoria[],2,FALSE),"")</f>
        <v/>
      </c>
      <c r="V36" t="str">
        <f>IF(LO[[#This Row],[CONTA/CARTAO]]="Cartão","Cartão",IF(LO[[#This Row],[CATEGORIA]]="Pagamento de Cartão","Fatura",""))</f>
        <v/>
      </c>
      <c r="W36">
        <f>IF(LO[[#This Row],[Tipo]]="Receita",LO[[#This Row],[Valor]],IF(LO[[#This Row],[Tipo]]="Despesa",-LO[[#This Row],[Valor]],0))</f>
        <v>-45.88</v>
      </c>
    </row>
    <row r="37" spans="2:23" hidden="1" x14ac:dyDescent="0.3">
      <c r="B37" s="11">
        <v>46097</v>
      </c>
      <c r="C37" s="11">
        <v>46122</v>
      </c>
      <c r="D37" t="s">
        <v>309</v>
      </c>
      <c r="E37" s="28">
        <v>14.89</v>
      </c>
      <c r="F37" t="s">
        <v>284</v>
      </c>
      <c r="G37" t="s">
        <v>282</v>
      </c>
      <c r="H37" t="s">
        <v>355</v>
      </c>
      <c r="J37" t="str">
        <f>IFERROR(VLOOKUP(LO[[#This Row],[Descrição]],TabCategoria[],2,FALSE),"")</f>
        <v>OPERACIONAL</v>
      </c>
      <c r="K37" t="str">
        <f>IFERROR(VLOOKUP(LO[[#This Row],[Descrição]],TabCategoria[],3,FALSE),"")</f>
        <v>DESPESA</v>
      </c>
      <c r="L37" t="str">
        <f>IFERROR(VLOOKUP(LO[[#This Row],[Descrição]],TabCategoria[],4,FALSE),"")</f>
        <v>Saúde</v>
      </c>
      <c r="M37" t="str">
        <f>IFERROR(VLOOKUP(LO[[#This Row],[Descrição]],TabCategoria[],5,FALSE),"")</f>
        <v>Medicamentos / Farmácia</v>
      </c>
      <c r="N37">
        <f>SUMIFS(TabCategoria[Meta Mês],TabCategoria[Categoria],LO[[#This Row],[CATEGORIA]])</f>
        <v>0</v>
      </c>
      <c r="O37" s="68">
        <f>SUMIFS(LO[Valor],LO[CATEGORIA],LO[[#This Row],[CATEGORIA]],LO[ANO],LO[[#This Row],[ANO]],LO[MÊS],LO[[#This Row],[MÊS]])
/COUNTIFS(LO[CATEGORIA],LO[[#This Row],[CATEGORIA]],LO[ANO],LO[[#This Row],[ANO]],LO[MÊS],LO[[#This Row],[MÊS]])</f>
        <v>64.41</v>
      </c>
      <c r="P3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7" t="str">
        <f>IFERROR(INDEX(TabInst[TIPO],MATCH(LO[[#This Row],[INSTITUIÇÃO]],TabInst[DESCRIÇÃO],0)),"")</f>
        <v/>
      </c>
      <c r="R37" t="str">
        <f>IFERROR(INDEX(TabInst[INSTITUIÇÃO],MATCH(LO[[#This Row],[INSTITUIÇÃO]],TabInst[DESCRIÇÃO],0)),"")</f>
        <v/>
      </c>
      <c r="S37" t="str">
        <f>PROPER(TEXT(LO[[#This Row],[DT Venc]],"MMM"))</f>
        <v>Apr</v>
      </c>
      <c r="T37">
        <f>YEAR(LO[[#This Row],[DT Venc]])</f>
        <v>2026</v>
      </c>
      <c r="U37" t="str">
        <f>IFERROR(VLOOKUP(LO[[#This Row],[CATEGORIA]],TabCategoria[],2,FALSE),"")</f>
        <v/>
      </c>
      <c r="V37" t="str">
        <f>IF(LO[[#This Row],[CONTA/CARTAO]]="Cartão","Cartão",IF(LO[[#This Row],[CATEGORIA]]="Pagamento de Cartão","Fatura",""))</f>
        <v/>
      </c>
      <c r="W37">
        <f>IF(LO[[#This Row],[Tipo]]="Receita",LO[[#This Row],[Valor]],IF(LO[[#This Row],[Tipo]]="Despesa",-LO[[#This Row],[Valor]],0))</f>
        <v>-14.89</v>
      </c>
    </row>
    <row r="38" spans="2:23" hidden="1" x14ac:dyDescent="0.3">
      <c r="B38" s="11">
        <v>46097</v>
      </c>
      <c r="C38" s="11">
        <v>46122</v>
      </c>
      <c r="D38" t="s">
        <v>310</v>
      </c>
      <c r="E38" s="28">
        <v>26.9</v>
      </c>
      <c r="F38" t="s">
        <v>284</v>
      </c>
      <c r="G38" t="s">
        <v>282</v>
      </c>
      <c r="H38" t="s">
        <v>355</v>
      </c>
      <c r="I38" t="s">
        <v>311</v>
      </c>
      <c r="J38" t="str">
        <f>IFERROR(VLOOKUP(LO[[#This Row],[Descrição]],TabCategoria[],2,FALSE),"")</f>
        <v>OPERACIONAL</v>
      </c>
      <c r="K38" t="str">
        <f>IFERROR(VLOOKUP(LO[[#This Row],[Descrição]],TabCategoria[],3,FALSE),"")</f>
        <v>DESPESA</v>
      </c>
      <c r="L38" t="str">
        <f>IFERROR(VLOOKUP(LO[[#This Row],[Descrição]],TabCategoria[],4,FALSE),"")</f>
        <v>Moradia</v>
      </c>
      <c r="M38" t="str">
        <f>IFERROR(VLOOKUP(LO[[#This Row],[Descrição]],TabCategoria[],5,FALSE),"")</f>
        <v>Utensílios e Eletrodomésticos</v>
      </c>
      <c r="N38">
        <f>SUMIFS(TabCategoria[Meta Mês],TabCategoria[Categoria],LO[[#This Row],[CATEGORIA]])</f>
        <v>0</v>
      </c>
      <c r="O38" s="68">
        <f>SUMIFS(LO[Valor],LO[CATEGORIA],LO[[#This Row],[CATEGORIA]],LO[ANO],LO[[#This Row],[ANO]],LO[MÊS],LO[[#This Row],[MÊS]])
/COUNTIFS(LO[CATEGORIA],LO[[#This Row],[CATEGORIA]],LO[ANO],LO[[#This Row],[ANO]],LO[MÊS],LO[[#This Row],[MÊS]])</f>
        <v>138.44999999999999</v>
      </c>
      <c r="P3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8" t="str">
        <f>IFERROR(INDEX(TabInst[TIPO],MATCH(LO[[#This Row],[INSTITUIÇÃO]],TabInst[DESCRIÇÃO],0)),"")</f>
        <v/>
      </c>
      <c r="R38" t="str">
        <f>IFERROR(INDEX(TabInst[INSTITUIÇÃO],MATCH(LO[[#This Row],[INSTITUIÇÃO]],TabInst[DESCRIÇÃO],0)),"")</f>
        <v/>
      </c>
      <c r="S38" t="str">
        <f>PROPER(TEXT(LO[[#This Row],[DT Venc]],"MMM"))</f>
        <v>Apr</v>
      </c>
      <c r="T38">
        <f>YEAR(LO[[#This Row],[DT Venc]])</f>
        <v>2026</v>
      </c>
      <c r="U38" t="str">
        <f>IFERROR(VLOOKUP(LO[[#This Row],[CATEGORIA]],TabCategoria[],2,FALSE),"")</f>
        <v/>
      </c>
      <c r="V38" t="str">
        <f>IF(LO[[#This Row],[CONTA/CARTAO]]="Cartão","Cartão",IF(LO[[#This Row],[CATEGORIA]]="Pagamento de Cartão","Fatura",""))</f>
        <v/>
      </c>
      <c r="W38">
        <f>IF(LO[[#This Row],[Tipo]]="Receita",LO[[#This Row],[Valor]],IF(LO[[#This Row],[Tipo]]="Despesa",-LO[[#This Row],[Valor]],0))</f>
        <v>-26.9</v>
      </c>
    </row>
    <row r="39" spans="2:23" hidden="1" x14ac:dyDescent="0.3">
      <c r="B39" s="11">
        <v>46097</v>
      </c>
      <c r="C39" s="11">
        <v>46122</v>
      </c>
      <c r="D39" t="s">
        <v>309</v>
      </c>
      <c r="E39" s="28">
        <v>62.89</v>
      </c>
      <c r="F39" t="s">
        <v>284</v>
      </c>
      <c r="G39" t="s">
        <v>282</v>
      </c>
      <c r="H39" t="s">
        <v>355</v>
      </c>
      <c r="J39" t="str">
        <f>IFERROR(VLOOKUP(LO[[#This Row],[Descrição]],TabCategoria[],2,FALSE),"")</f>
        <v>OPERACIONAL</v>
      </c>
      <c r="K39" t="str">
        <f>IFERROR(VLOOKUP(LO[[#This Row],[Descrição]],TabCategoria[],3,FALSE),"")</f>
        <v>DESPESA</v>
      </c>
      <c r="L39" t="str">
        <f>IFERROR(VLOOKUP(LO[[#This Row],[Descrição]],TabCategoria[],4,FALSE),"")</f>
        <v>Saúde</v>
      </c>
      <c r="M39" t="str">
        <f>IFERROR(VLOOKUP(LO[[#This Row],[Descrição]],TabCategoria[],5,FALSE),"")</f>
        <v>Medicamentos / Farmácia</v>
      </c>
      <c r="N39">
        <f>SUMIFS(TabCategoria[Meta Mês],TabCategoria[Categoria],LO[[#This Row],[CATEGORIA]])</f>
        <v>0</v>
      </c>
      <c r="O39" s="68">
        <f>SUMIFS(LO[Valor],LO[CATEGORIA],LO[[#This Row],[CATEGORIA]],LO[ANO],LO[[#This Row],[ANO]],LO[MÊS],LO[[#This Row],[MÊS]])
/COUNTIFS(LO[CATEGORIA],LO[[#This Row],[CATEGORIA]],LO[ANO],LO[[#This Row],[ANO]],LO[MÊS],LO[[#This Row],[MÊS]])</f>
        <v>64.41</v>
      </c>
      <c r="P3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39" t="str">
        <f>IFERROR(INDEX(TabInst[TIPO],MATCH(LO[[#This Row],[INSTITUIÇÃO]],TabInst[DESCRIÇÃO],0)),"")</f>
        <v/>
      </c>
      <c r="R39" t="str">
        <f>IFERROR(INDEX(TabInst[INSTITUIÇÃO],MATCH(LO[[#This Row],[INSTITUIÇÃO]],TabInst[DESCRIÇÃO],0)),"")</f>
        <v/>
      </c>
      <c r="S39" t="str">
        <f>PROPER(TEXT(LO[[#This Row],[DT Venc]],"MMM"))</f>
        <v>Apr</v>
      </c>
      <c r="T39">
        <f>YEAR(LO[[#This Row],[DT Venc]])</f>
        <v>2026</v>
      </c>
      <c r="U39" t="str">
        <f>IFERROR(VLOOKUP(LO[[#This Row],[CATEGORIA]],TabCategoria[],2,FALSE),"")</f>
        <v/>
      </c>
      <c r="V39" t="str">
        <f>IF(LO[[#This Row],[CONTA/CARTAO]]="Cartão","Cartão",IF(LO[[#This Row],[CATEGORIA]]="Pagamento de Cartão","Fatura",""))</f>
        <v/>
      </c>
      <c r="W39">
        <f>IF(LO[[#This Row],[Tipo]]="Receita",LO[[#This Row],[Valor]],IF(LO[[#This Row],[Tipo]]="Despesa",-LO[[#This Row],[Valor]],0))</f>
        <v>-62.89</v>
      </c>
    </row>
    <row r="40" spans="2:23" hidden="1" x14ac:dyDescent="0.3">
      <c r="B40" s="11">
        <v>46097</v>
      </c>
      <c r="C40" s="11">
        <v>46122</v>
      </c>
      <c r="D40" t="s">
        <v>309</v>
      </c>
      <c r="E40" s="28">
        <v>133.97999999999999</v>
      </c>
      <c r="F40" t="s">
        <v>284</v>
      </c>
      <c r="G40" t="s">
        <v>282</v>
      </c>
      <c r="H40" t="s">
        <v>355</v>
      </c>
      <c r="I40" t="s">
        <v>312</v>
      </c>
      <c r="J40" t="str">
        <f>IFERROR(VLOOKUP(LO[[#This Row],[Descrição]],TabCategoria[],2,FALSE),"")</f>
        <v>OPERACIONAL</v>
      </c>
      <c r="K40" t="str">
        <f>IFERROR(VLOOKUP(LO[[#This Row],[Descrição]],TabCategoria[],3,FALSE),"")</f>
        <v>DESPESA</v>
      </c>
      <c r="L40" t="str">
        <f>IFERROR(VLOOKUP(LO[[#This Row],[Descrição]],TabCategoria[],4,FALSE),"")</f>
        <v>Saúde</v>
      </c>
      <c r="M40" t="str">
        <f>IFERROR(VLOOKUP(LO[[#This Row],[Descrição]],TabCategoria[],5,FALSE),"")</f>
        <v>Medicamentos / Farmácia</v>
      </c>
      <c r="N40">
        <f>SUMIFS(TabCategoria[Meta Mês],TabCategoria[Categoria],LO[[#This Row],[CATEGORIA]])</f>
        <v>0</v>
      </c>
      <c r="O40" s="68">
        <f>SUMIFS(LO[Valor],LO[CATEGORIA],LO[[#This Row],[CATEGORIA]],LO[ANO],LO[[#This Row],[ANO]],LO[MÊS],LO[[#This Row],[MÊS]])
/COUNTIFS(LO[CATEGORIA],LO[[#This Row],[CATEGORIA]],LO[ANO],LO[[#This Row],[ANO]],LO[MÊS],LO[[#This Row],[MÊS]])</f>
        <v>64.41</v>
      </c>
      <c r="P4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0" t="str">
        <f>IFERROR(INDEX(TabInst[TIPO],MATCH(LO[[#This Row],[INSTITUIÇÃO]],TabInst[DESCRIÇÃO],0)),"")</f>
        <v/>
      </c>
      <c r="R40" t="str">
        <f>IFERROR(INDEX(TabInst[INSTITUIÇÃO],MATCH(LO[[#This Row],[INSTITUIÇÃO]],TabInst[DESCRIÇÃO],0)),"")</f>
        <v/>
      </c>
      <c r="S40" t="str">
        <f>PROPER(TEXT(LO[[#This Row],[DT Venc]],"MMM"))</f>
        <v>Apr</v>
      </c>
      <c r="T40">
        <f>YEAR(LO[[#This Row],[DT Venc]])</f>
        <v>2026</v>
      </c>
      <c r="U40" t="str">
        <f>IFERROR(VLOOKUP(LO[[#This Row],[CATEGORIA]],TabCategoria[],2,FALSE),"")</f>
        <v/>
      </c>
      <c r="V40" t="str">
        <f>IF(LO[[#This Row],[CONTA/CARTAO]]="Cartão","Cartão",IF(LO[[#This Row],[CATEGORIA]]="Pagamento de Cartão","Fatura",""))</f>
        <v/>
      </c>
      <c r="W40">
        <f>IF(LO[[#This Row],[Tipo]]="Receita",LO[[#This Row],[Valor]],IF(LO[[#This Row],[Tipo]]="Despesa",-LO[[#This Row],[Valor]],0))</f>
        <v>-133.97999999999999</v>
      </c>
    </row>
    <row r="41" spans="2:23" hidden="1" x14ac:dyDescent="0.3">
      <c r="B41" s="11">
        <v>46097</v>
      </c>
      <c r="C41" s="11">
        <v>46122</v>
      </c>
      <c r="D41" t="s">
        <v>314</v>
      </c>
      <c r="E41" s="28">
        <v>71.75</v>
      </c>
      <c r="F41" t="s">
        <v>284</v>
      </c>
      <c r="G41" t="s">
        <v>282</v>
      </c>
      <c r="H41" t="s">
        <v>355</v>
      </c>
      <c r="I41" t="s">
        <v>315</v>
      </c>
      <c r="J41" t="str">
        <f>IFERROR(VLOOKUP(LO[[#This Row],[Descrição]],TabCategoria[],2,FALSE),"")</f>
        <v>OPERACIONAL</v>
      </c>
      <c r="K41" t="str">
        <f>IFERROR(VLOOKUP(LO[[#This Row],[Descrição]],TabCategoria[],3,FALSE),"")</f>
        <v>DESPESA</v>
      </c>
      <c r="L41" t="str">
        <f>IFERROR(VLOOKUP(LO[[#This Row],[Descrição]],TabCategoria[],4,FALSE),"")</f>
        <v>Dependentes</v>
      </c>
      <c r="M41" t="str">
        <f>IFERROR(VLOOKUP(LO[[#This Row],[Descrição]],TabCategoria[],5,FALSE),"")</f>
        <v>Presentes / Festa de Aniversário</v>
      </c>
      <c r="N41">
        <f>SUMIFS(TabCategoria[Meta Mês],TabCategoria[Categoria],LO[[#This Row],[CATEGORIA]])</f>
        <v>0</v>
      </c>
      <c r="O41" s="68">
        <f>SUMIFS(LO[Valor],LO[CATEGORIA],LO[[#This Row],[CATEGORIA]],LO[ANO],LO[[#This Row],[ANO]],LO[MÊS],LO[[#This Row],[MÊS]])
/COUNTIFS(LO[CATEGORIA],LO[[#This Row],[CATEGORIA]],LO[ANO],LO[[#This Row],[ANO]],LO[MÊS],LO[[#This Row],[MÊS]])</f>
        <v>71.75</v>
      </c>
      <c r="P4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1" t="str">
        <f>IFERROR(INDEX(TabInst[TIPO],MATCH(LO[[#This Row],[INSTITUIÇÃO]],TabInst[DESCRIÇÃO],0)),"")</f>
        <v/>
      </c>
      <c r="R41" t="str">
        <f>IFERROR(INDEX(TabInst[INSTITUIÇÃO],MATCH(LO[[#This Row],[INSTITUIÇÃO]],TabInst[DESCRIÇÃO],0)),"")</f>
        <v/>
      </c>
      <c r="S41" t="str">
        <f>PROPER(TEXT(LO[[#This Row],[DT Venc]],"MMM"))</f>
        <v>Apr</v>
      </c>
      <c r="T41">
        <f>YEAR(LO[[#This Row],[DT Venc]])</f>
        <v>2026</v>
      </c>
      <c r="U41" t="str">
        <f>IFERROR(VLOOKUP(LO[[#This Row],[CATEGORIA]],TabCategoria[],2,FALSE),"")</f>
        <v/>
      </c>
      <c r="V41" t="str">
        <f>IF(LO[[#This Row],[CONTA/CARTAO]]="Cartão","Cartão",IF(LO[[#This Row],[CATEGORIA]]="Pagamento de Cartão","Fatura",""))</f>
        <v/>
      </c>
      <c r="W41">
        <f>IF(LO[[#This Row],[Tipo]]="Receita",LO[[#This Row],[Valor]],IF(LO[[#This Row],[Tipo]]="Despesa",-LO[[#This Row],[Valor]],0))</f>
        <v>-71.75</v>
      </c>
    </row>
    <row r="42" spans="2:23" hidden="1" x14ac:dyDescent="0.3">
      <c r="B42" s="11">
        <v>46097</v>
      </c>
      <c r="C42" s="11">
        <v>46122</v>
      </c>
      <c r="D42" t="s">
        <v>316</v>
      </c>
      <c r="E42" s="28">
        <v>89.56</v>
      </c>
      <c r="F42" t="s">
        <v>284</v>
      </c>
      <c r="G42" t="s">
        <v>282</v>
      </c>
      <c r="H42" t="s">
        <v>355</v>
      </c>
      <c r="I42" t="s">
        <v>317</v>
      </c>
      <c r="J42" t="str">
        <f>IFERROR(VLOOKUP(LO[[#This Row],[Descrição]],TabCategoria[],2,FALSE),"")</f>
        <v>OPERACIONAL</v>
      </c>
      <c r="K42" t="str">
        <f>IFERROR(VLOOKUP(LO[[#This Row],[Descrição]],TabCategoria[],3,FALSE),"")</f>
        <v>DESPESA</v>
      </c>
      <c r="L42" t="str">
        <f>IFERROR(VLOOKUP(LO[[#This Row],[Descrição]],TabCategoria[],4,FALSE),"")</f>
        <v>Diversos</v>
      </c>
      <c r="M42" t="str">
        <f>IFERROR(VLOOKUP(LO[[#This Row],[Descrição]],TabCategoria[],5,FALSE),"")</f>
        <v>Presentes</v>
      </c>
      <c r="N42">
        <f>SUMIFS(TabCategoria[Meta Mês],TabCategoria[Categoria],LO[[#This Row],[CATEGORIA]])</f>
        <v>0</v>
      </c>
      <c r="O42" s="68">
        <f>SUMIFS(LO[Valor],LO[CATEGORIA],LO[[#This Row],[CATEGORIA]],LO[ANO],LO[[#This Row],[ANO]],LO[MÊS],LO[[#This Row],[MÊS]])
/COUNTIFS(LO[CATEGORIA],LO[[#This Row],[CATEGORIA]],LO[ANO],LO[[#This Row],[ANO]],LO[MÊS],LO[[#This Row],[MÊS]])</f>
        <v>89.56</v>
      </c>
      <c r="P4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2" t="str">
        <f>IFERROR(INDEX(TabInst[TIPO],MATCH(LO[[#This Row],[INSTITUIÇÃO]],TabInst[DESCRIÇÃO],0)),"")</f>
        <v/>
      </c>
      <c r="R42" t="str">
        <f>IFERROR(INDEX(TabInst[INSTITUIÇÃO],MATCH(LO[[#This Row],[INSTITUIÇÃO]],TabInst[DESCRIÇÃO],0)),"")</f>
        <v/>
      </c>
      <c r="S42" t="str">
        <f>PROPER(TEXT(LO[[#This Row],[DT Venc]],"MMM"))</f>
        <v>Apr</v>
      </c>
      <c r="T42">
        <f>YEAR(LO[[#This Row],[DT Venc]])</f>
        <v>2026</v>
      </c>
      <c r="U42" t="str">
        <f>IFERROR(VLOOKUP(LO[[#This Row],[CATEGORIA]],TabCategoria[],2,FALSE),"")</f>
        <v/>
      </c>
      <c r="V42" t="str">
        <f>IF(LO[[#This Row],[CONTA/CARTAO]]="Cartão","Cartão",IF(LO[[#This Row],[CATEGORIA]]="Pagamento de Cartão","Fatura",""))</f>
        <v/>
      </c>
      <c r="W42">
        <f>IF(LO[[#This Row],[Tipo]]="Receita",LO[[#This Row],[Valor]],IF(LO[[#This Row],[Tipo]]="Despesa",-LO[[#This Row],[Valor]],0))</f>
        <v>-89.56</v>
      </c>
    </row>
    <row r="43" spans="2:23" hidden="1" x14ac:dyDescent="0.3">
      <c r="B43" s="11">
        <v>46103</v>
      </c>
      <c r="C43" s="11">
        <v>46122</v>
      </c>
      <c r="D43" t="s">
        <v>334</v>
      </c>
      <c r="E43" s="28">
        <v>48.74</v>
      </c>
      <c r="F43" t="s">
        <v>335</v>
      </c>
      <c r="G43" t="s">
        <v>282</v>
      </c>
      <c r="H43" t="s">
        <v>313</v>
      </c>
      <c r="I43" t="s">
        <v>336</v>
      </c>
      <c r="J43" t="str">
        <f>IFERROR(VLOOKUP(LO[[#This Row],[Descrição]],TabCategoria[],2,FALSE),"")</f>
        <v>OPERACIONAL</v>
      </c>
      <c r="K43" t="str">
        <f>IFERROR(VLOOKUP(LO[[#This Row],[Descrição]],TabCategoria[],3,FALSE),"")</f>
        <v>DESPESA</v>
      </c>
      <c r="L43" t="str">
        <f>IFERROR(VLOOKUP(LO[[#This Row],[Descrição]],TabCategoria[],4,FALSE),"")</f>
        <v>Alimentação</v>
      </c>
      <c r="M43" t="str">
        <f>IFERROR(VLOOKUP(LO[[#This Row],[Descrição]],TabCategoria[],5,FALSE),"")</f>
        <v>Supermercado</v>
      </c>
      <c r="N43">
        <f>SUMIFS(TabCategoria[Meta Mês],TabCategoria[Categoria],LO[[#This Row],[CATEGORIA]])</f>
        <v>0</v>
      </c>
      <c r="O43" s="68">
        <f>SUMIFS(LO[Valor],LO[CATEGORIA],LO[[#This Row],[CATEGORIA]],LO[ANO],LO[[#This Row],[ANO]],LO[MÊS],LO[[#This Row],[MÊS]])
/COUNTIFS(LO[CATEGORIA],LO[[#This Row],[CATEGORIA]],LO[ANO],LO[[#This Row],[ANO]],LO[MÊS],LO[[#This Row],[MÊS]])</f>
        <v>47.814999999999998</v>
      </c>
      <c r="P4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3" t="str">
        <f>IFERROR(INDEX(TabInst[TIPO],MATCH(LO[[#This Row],[INSTITUIÇÃO]],TabInst[DESCRIÇÃO],0)),"")</f>
        <v/>
      </c>
      <c r="R43" t="str">
        <f>IFERROR(INDEX(TabInst[INSTITUIÇÃO],MATCH(LO[[#This Row],[INSTITUIÇÃO]],TabInst[DESCRIÇÃO],0)),"")</f>
        <v/>
      </c>
      <c r="S43" t="str">
        <f>PROPER(TEXT(LO[[#This Row],[DT Venc]],"MMM"))</f>
        <v>Apr</v>
      </c>
      <c r="T43">
        <f>YEAR(LO[[#This Row],[DT Venc]])</f>
        <v>2026</v>
      </c>
      <c r="U43" t="str">
        <f>IFERROR(VLOOKUP(LO[[#This Row],[CATEGORIA]],TabCategoria[],2,FALSE),"")</f>
        <v/>
      </c>
      <c r="V43" t="str">
        <f>IF(LO[[#This Row],[CONTA/CARTAO]]="Cartão","Cartão",IF(LO[[#This Row],[CATEGORIA]]="Pagamento de Cartão","Fatura",""))</f>
        <v/>
      </c>
      <c r="W43">
        <f>IF(LO[[#This Row],[Tipo]]="Receita",LO[[#This Row],[Valor]],IF(LO[[#This Row],[Tipo]]="Despesa",-LO[[#This Row],[Valor]],0))</f>
        <v>-48.74</v>
      </c>
    </row>
    <row r="44" spans="2:23" hidden="1" x14ac:dyDescent="0.3">
      <c r="B44" s="11">
        <v>46113</v>
      </c>
      <c r="C44" s="11">
        <v>46143</v>
      </c>
      <c r="D44" t="s">
        <v>302</v>
      </c>
      <c r="E44" s="28">
        <v>2900</v>
      </c>
      <c r="G44" t="s">
        <v>281</v>
      </c>
      <c r="H44" t="s">
        <v>313</v>
      </c>
      <c r="J44" t="str">
        <f>IFERROR(VLOOKUP(LO[[#This Row],[Descrição]],TabCategoria[],2,FALSE),"")</f>
        <v>OPERACIONAL</v>
      </c>
      <c r="K44" t="str">
        <f>IFERROR(VLOOKUP(LO[[#This Row],[Descrição]],TabCategoria[],3,FALSE),"")</f>
        <v>RECEITA</v>
      </c>
      <c r="L44" t="str">
        <f>IFERROR(VLOOKUP(LO[[#This Row],[Descrição]],TabCategoria[],4,FALSE),"")</f>
        <v>Renda Principal</v>
      </c>
      <c r="M44" t="str">
        <f>IFERROR(VLOOKUP(LO[[#This Row],[Descrição]],TabCategoria[],5,FALSE),"")</f>
        <v>Salário Principal</v>
      </c>
      <c r="N44">
        <f>SUMIFS(TabCategoria[Meta Mês],TabCategoria[Categoria],LO[[#This Row],[CATEGORIA]])</f>
        <v>0</v>
      </c>
      <c r="O44" s="68">
        <f>SUMIFS(LO[Valor],LO[CATEGORIA],LO[[#This Row],[CATEGORIA]],LO[ANO],LO[[#This Row],[ANO]],LO[MÊS],LO[[#This Row],[MÊS]])
/COUNTIFS(LO[CATEGORIA],LO[[#This Row],[CATEGORIA]],LO[ANO],LO[[#This Row],[ANO]],LO[MÊS],LO[[#This Row],[MÊS]])</f>
        <v>2900</v>
      </c>
      <c r="P4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4" t="str">
        <f>IFERROR(INDEX(TabInst[TIPO],MATCH(LO[[#This Row],[INSTITUIÇÃO]],TabInst[DESCRIÇÃO],0)),"")</f>
        <v/>
      </c>
      <c r="R44" t="str">
        <f>IFERROR(INDEX(TabInst[INSTITUIÇÃO],MATCH(LO[[#This Row],[INSTITUIÇÃO]],TabInst[DESCRIÇÃO],0)),"")</f>
        <v/>
      </c>
      <c r="S44" t="str">
        <f>PROPER(TEXT(LO[[#This Row],[DT Venc]],"MMM"))</f>
        <v>May</v>
      </c>
      <c r="T44">
        <f>YEAR(LO[[#This Row],[DT Venc]])</f>
        <v>2026</v>
      </c>
      <c r="U44" t="str">
        <f>IFERROR(VLOOKUP(LO[[#This Row],[CATEGORIA]],TabCategoria[],2,FALSE),"")</f>
        <v/>
      </c>
      <c r="V44" t="str">
        <f>IF(LO[[#This Row],[CONTA/CARTAO]]="Cartão","Cartão",IF(LO[[#This Row],[CATEGORIA]]="Pagamento de Cartão","Fatura",""))</f>
        <v/>
      </c>
      <c r="W44">
        <f>IF(LO[[#This Row],[Tipo]]="Receita",LO[[#This Row],[Valor]],IF(LO[[#This Row],[Tipo]]="Despesa",-LO[[#This Row],[Valor]],0))</f>
        <v>2900</v>
      </c>
    </row>
    <row r="45" spans="2:23" hidden="1" x14ac:dyDescent="0.3">
      <c r="B45" s="11">
        <v>46113</v>
      </c>
      <c r="C45" s="11">
        <v>46151</v>
      </c>
      <c r="D45" t="s">
        <v>342</v>
      </c>
      <c r="E45" s="28">
        <v>90</v>
      </c>
      <c r="F45" t="s">
        <v>284</v>
      </c>
      <c r="G45" t="s">
        <v>280</v>
      </c>
      <c r="H45" t="s">
        <v>313</v>
      </c>
      <c r="I45" t="s">
        <v>343</v>
      </c>
      <c r="J45" t="str">
        <f>IFERROR(VLOOKUP(LO[[#This Row],[Descrição]],TabCategoria[],2,FALSE),"")</f>
        <v>OPERACIONAL</v>
      </c>
      <c r="K45" t="str">
        <f>IFERROR(VLOOKUP(LO[[#This Row],[Descrição]],TabCategoria[],3,FALSE),"")</f>
        <v>DESPESA</v>
      </c>
      <c r="L45" t="str">
        <f>IFERROR(VLOOKUP(LO[[#This Row],[Descrição]],TabCategoria[],4,FALSE),"")</f>
        <v>Lazer</v>
      </c>
      <c r="M45" t="str">
        <f>IFERROR(VLOOKUP(LO[[#This Row],[Descrição]],TabCategoria[],5,FALSE),"")</f>
        <v>Outros Lazer</v>
      </c>
      <c r="N45">
        <f>SUMIFS(TabCategoria[Meta Mês],TabCategoria[Categoria],LO[[#This Row],[CATEGORIA]])</f>
        <v>0</v>
      </c>
      <c r="O45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4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5" t="str">
        <f>IFERROR(INDEX(TabInst[TIPO],MATCH(LO[[#This Row],[INSTITUIÇÃO]],TabInst[DESCRIÇÃO],0)),"")</f>
        <v/>
      </c>
      <c r="R45" t="str">
        <f>IFERROR(INDEX(TabInst[INSTITUIÇÃO],MATCH(LO[[#This Row],[INSTITUIÇÃO]],TabInst[DESCRIÇÃO],0)),"")</f>
        <v/>
      </c>
      <c r="S45" t="str">
        <f>PROPER(TEXT(LO[[#This Row],[DT Venc]],"MMM"))</f>
        <v>May</v>
      </c>
      <c r="T45">
        <f>YEAR(LO[[#This Row],[DT Venc]])</f>
        <v>2026</v>
      </c>
      <c r="U45" t="str">
        <f>IFERROR(VLOOKUP(LO[[#This Row],[CATEGORIA]],TabCategoria[],2,FALSE),"")</f>
        <v/>
      </c>
      <c r="V45" t="str">
        <f>IF(LO[[#This Row],[CONTA/CARTAO]]="Cartão","Cartão",IF(LO[[#This Row],[CATEGORIA]]="Pagamento de Cartão","Fatura",""))</f>
        <v/>
      </c>
      <c r="W45">
        <f>IF(LO[[#This Row],[Tipo]]="Receita",LO[[#This Row],[Valor]],IF(LO[[#This Row],[Tipo]]="Despesa",-LO[[#This Row],[Valor]],0))</f>
        <v>-90</v>
      </c>
    </row>
    <row r="46" spans="2:23" hidden="1" x14ac:dyDescent="0.3">
      <c r="B46" s="11">
        <v>46113</v>
      </c>
      <c r="C46" s="11">
        <v>46152</v>
      </c>
      <c r="D46" t="s">
        <v>296</v>
      </c>
      <c r="E46" s="28">
        <v>67.28</v>
      </c>
      <c r="F46" t="s">
        <v>284</v>
      </c>
      <c r="G46" t="s">
        <v>282</v>
      </c>
      <c r="H46" t="s">
        <v>313</v>
      </c>
      <c r="I46" t="s">
        <v>327</v>
      </c>
      <c r="J46" t="str">
        <f>IFERROR(VLOOKUP(LO[[#This Row],[Descrição]],TabCategoria[],2,FALSE),"")</f>
        <v>NÃO OPERACIONAL</v>
      </c>
      <c r="K46" t="str">
        <f>IFERROR(VLOOKUP(LO[[#This Row],[Descrição]],TabCategoria[],3,FALSE),"")</f>
        <v>DESPESA</v>
      </c>
      <c r="L46" t="str">
        <f>IFERROR(VLOOKUP(LO[[#This Row],[Descrição]],TabCategoria[],4,FALSE),"")</f>
        <v>Lazer</v>
      </c>
      <c r="M46" t="str">
        <f>IFERROR(VLOOKUP(LO[[#This Row],[Descrição]],TabCategoria[],5,FALSE),"")</f>
        <v>SHEIN</v>
      </c>
      <c r="N46">
        <f>SUMIFS(TabCategoria[Meta Mês],TabCategoria[Categoria],LO[[#This Row],[CATEGORIA]])</f>
        <v>0</v>
      </c>
      <c r="O46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4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6" t="str">
        <f>IFERROR(INDEX(TabInst[TIPO],MATCH(LO[[#This Row],[INSTITUIÇÃO]],TabInst[DESCRIÇÃO],0)),"")</f>
        <v/>
      </c>
      <c r="R46" t="str">
        <f>IFERROR(INDEX(TabInst[INSTITUIÇÃO],MATCH(LO[[#This Row],[INSTITUIÇÃO]],TabInst[DESCRIÇÃO],0)),"")</f>
        <v/>
      </c>
      <c r="S46" t="str">
        <f>PROPER(TEXT(LO[[#This Row],[DT Venc]],"MMM"))</f>
        <v>May</v>
      </c>
      <c r="T46">
        <f>YEAR(LO[[#This Row],[DT Venc]])</f>
        <v>2026</v>
      </c>
      <c r="U46" t="str">
        <f>IFERROR(VLOOKUP(LO[[#This Row],[CATEGORIA]],TabCategoria[],2,FALSE),"")</f>
        <v/>
      </c>
      <c r="V46" t="str">
        <f>IF(LO[[#This Row],[CONTA/CARTAO]]="Cartão","Cartão",IF(LO[[#This Row],[CATEGORIA]]="Pagamento de Cartão","Fatura",""))</f>
        <v/>
      </c>
      <c r="W46">
        <f>IF(LO[[#This Row],[Tipo]]="Receita",LO[[#This Row],[Valor]],IF(LO[[#This Row],[Tipo]]="Despesa",-LO[[#This Row],[Valor]],0))</f>
        <v>-67.28</v>
      </c>
    </row>
    <row r="47" spans="2:23" hidden="1" x14ac:dyDescent="0.3">
      <c r="B47" s="11">
        <v>46113</v>
      </c>
      <c r="C47" s="11">
        <v>46152</v>
      </c>
      <c r="D47" t="s">
        <v>326</v>
      </c>
      <c r="E47" s="28">
        <v>188.68</v>
      </c>
      <c r="F47" t="s">
        <v>284</v>
      </c>
      <c r="G47" t="s">
        <v>282</v>
      </c>
      <c r="H47" t="s">
        <v>313</v>
      </c>
      <c r="I47" t="s">
        <v>328</v>
      </c>
      <c r="J47" t="str">
        <f>IFERROR(VLOOKUP(LO[[#This Row],[Descrição]],TabCategoria[],2,FALSE),"")</f>
        <v>NÃO OPERACIONAL</v>
      </c>
      <c r="K47" t="str">
        <f>IFERROR(VLOOKUP(LO[[#This Row],[Descrição]],TabCategoria[],3,FALSE),"")</f>
        <v>DESPESA</v>
      </c>
      <c r="L47" t="str">
        <f>IFERROR(VLOOKUP(LO[[#This Row],[Descrição]],TabCategoria[],4,FALSE),"")</f>
        <v>Empréstimo</v>
      </c>
      <c r="M47" t="str">
        <f>IFERROR(VLOOKUP(LO[[#This Row],[Descrição]],TabCategoria[],5,FALSE),"")</f>
        <v>Empréstimo Pessoal - Banco</v>
      </c>
      <c r="N47">
        <f>SUMIFS(TabCategoria[Meta Mês],TabCategoria[Categoria],LO[[#This Row],[CATEGORIA]])</f>
        <v>0</v>
      </c>
      <c r="O47" s="68">
        <f>SUMIFS(LO[Valor],LO[CATEGORIA],LO[[#This Row],[CATEGORIA]],LO[ANO],LO[[#This Row],[ANO]],LO[MÊS],LO[[#This Row],[MÊS]])
/COUNTIFS(LO[CATEGORIA],LO[[#This Row],[CATEGORIA]],LO[ANO],LO[[#This Row],[ANO]],LO[MÊS],LO[[#This Row],[MÊS]])</f>
        <v>395.536</v>
      </c>
      <c r="P4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7" t="str">
        <f>IFERROR(INDEX(TabInst[TIPO],MATCH(LO[[#This Row],[INSTITUIÇÃO]],TabInst[DESCRIÇÃO],0)),"")</f>
        <v/>
      </c>
      <c r="R47" t="str">
        <f>IFERROR(INDEX(TabInst[INSTITUIÇÃO],MATCH(LO[[#This Row],[INSTITUIÇÃO]],TabInst[DESCRIÇÃO],0)),"")</f>
        <v/>
      </c>
      <c r="S47" t="str">
        <f>PROPER(TEXT(LO[[#This Row],[DT Venc]],"MMM"))</f>
        <v>May</v>
      </c>
      <c r="T47">
        <f>YEAR(LO[[#This Row],[DT Venc]])</f>
        <v>2026</v>
      </c>
      <c r="U47" t="str">
        <f>IFERROR(VLOOKUP(LO[[#This Row],[CATEGORIA]],TabCategoria[],2,FALSE),"")</f>
        <v/>
      </c>
      <c r="V47" t="str">
        <f>IF(LO[[#This Row],[CONTA/CARTAO]]="Cartão","Cartão",IF(LO[[#This Row],[CATEGORIA]]="Pagamento de Cartão","Fatura",""))</f>
        <v/>
      </c>
      <c r="W47">
        <f>IF(LO[[#This Row],[Tipo]]="Receita",LO[[#This Row],[Valor]],IF(LO[[#This Row],[Tipo]]="Despesa",-LO[[#This Row],[Valor]],0))</f>
        <v>-188.68</v>
      </c>
    </row>
    <row r="48" spans="2:23" hidden="1" x14ac:dyDescent="0.3">
      <c r="B48" s="11">
        <v>46114</v>
      </c>
      <c r="C48" s="11">
        <v>46152</v>
      </c>
      <c r="D48" t="s">
        <v>318</v>
      </c>
      <c r="E48" s="28">
        <v>250</v>
      </c>
      <c r="G48" t="s">
        <v>280</v>
      </c>
      <c r="H48" t="s">
        <v>313</v>
      </c>
      <c r="J48" t="str">
        <f>IFERROR(VLOOKUP(LO[[#This Row],[Descrição]],TabCategoria[],2,FALSE),"")</f>
        <v>OPERACIONAL</v>
      </c>
      <c r="K48" t="str">
        <f>IFERROR(VLOOKUP(LO[[#This Row],[Descrição]],TabCategoria[],3,FALSE),"")</f>
        <v>DESPESA</v>
      </c>
      <c r="L48" t="str">
        <f>IFERROR(VLOOKUP(LO[[#This Row],[Descrição]],TabCategoria[],4,FALSE),"")</f>
        <v>Moradia</v>
      </c>
      <c r="M48" t="str">
        <f>IFERROR(VLOOKUP(LO[[#This Row],[Descrição]],TabCategoria[],5,FALSE),"")</f>
        <v>Água</v>
      </c>
      <c r="N48">
        <f>SUMIFS(TabCategoria[Meta Mês],TabCategoria[Categoria],LO[[#This Row],[CATEGORIA]])</f>
        <v>0</v>
      </c>
      <c r="O48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4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8" t="str">
        <f>IFERROR(INDEX(TabInst[TIPO],MATCH(LO[[#This Row],[INSTITUIÇÃO]],TabInst[DESCRIÇÃO],0)),"")</f>
        <v/>
      </c>
      <c r="R48" t="str">
        <f>IFERROR(INDEX(TabInst[INSTITUIÇÃO],MATCH(LO[[#This Row],[INSTITUIÇÃO]],TabInst[DESCRIÇÃO],0)),"")</f>
        <v/>
      </c>
      <c r="S48" t="str">
        <f>PROPER(TEXT(LO[[#This Row],[DT Venc]],"MMM"))</f>
        <v>May</v>
      </c>
      <c r="T48">
        <f>YEAR(LO[[#This Row],[DT Venc]])</f>
        <v>2026</v>
      </c>
      <c r="U48" t="str">
        <f>IFERROR(VLOOKUP(LO[[#This Row],[CATEGORIA]],TabCategoria[],2,FALSE),"")</f>
        <v/>
      </c>
      <c r="V48" t="str">
        <f>IF(LO[[#This Row],[CONTA/CARTAO]]="Cartão","Cartão",IF(LO[[#This Row],[CATEGORIA]]="Pagamento de Cartão","Fatura",""))</f>
        <v/>
      </c>
      <c r="W48">
        <f>IF(LO[[#This Row],[Tipo]]="Receita",LO[[#This Row],[Valor]],IF(LO[[#This Row],[Tipo]]="Despesa",-LO[[#This Row],[Valor]],0))</f>
        <v>-250</v>
      </c>
    </row>
    <row r="49" spans="2:23" hidden="1" x14ac:dyDescent="0.3">
      <c r="B49" s="11">
        <v>46114</v>
      </c>
      <c r="C49" s="11">
        <v>46152</v>
      </c>
      <c r="D49" t="s">
        <v>319</v>
      </c>
      <c r="E49" s="72">
        <v>150</v>
      </c>
      <c r="F49" t="s">
        <v>284</v>
      </c>
      <c r="G49" t="s">
        <v>280</v>
      </c>
      <c r="H49" t="s">
        <v>313</v>
      </c>
      <c r="J49" t="str">
        <f>IFERROR(VLOOKUP(LO[[#This Row],[Descrição]],TabCategoria[],2,FALSE),"")</f>
        <v>OPERACIONAL</v>
      </c>
      <c r="K49" t="str">
        <f>IFERROR(VLOOKUP(LO[[#This Row],[Descrição]],TabCategoria[],3,FALSE),"")</f>
        <v>DESPESA</v>
      </c>
      <c r="L49" t="str">
        <f>IFERROR(VLOOKUP(LO[[#This Row],[Descrição]],TabCategoria[],4,FALSE),"")</f>
        <v>Transporte</v>
      </c>
      <c r="M49" t="str">
        <f>IFERROR(VLOOKUP(LO[[#This Row],[Descrição]],TabCategoria[],5,FALSE),"")</f>
        <v>Combustível</v>
      </c>
      <c r="N49">
        <f>SUMIFS(TabCategoria[Meta Mês],TabCategoria[Categoria],LO[[#This Row],[CATEGORIA]])</f>
        <v>0</v>
      </c>
      <c r="O49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4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49" t="str">
        <f>IFERROR(INDEX(TabInst[TIPO],MATCH(LO[[#This Row],[INSTITUIÇÃO]],TabInst[DESCRIÇÃO],0)),"")</f>
        <v/>
      </c>
      <c r="R49" t="str">
        <f>IFERROR(INDEX(TabInst[INSTITUIÇÃO],MATCH(LO[[#This Row],[INSTITUIÇÃO]],TabInst[DESCRIÇÃO],0)),"")</f>
        <v/>
      </c>
      <c r="S49" t="str">
        <f>PROPER(TEXT(LO[[#This Row],[DT Venc]],"MMM"))</f>
        <v>May</v>
      </c>
      <c r="T49">
        <f>YEAR(LO[[#This Row],[DT Venc]])</f>
        <v>2026</v>
      </c>
      <c r="U49" t="str">
        <f>IFERROR(VLOOKUP(LO[[#This Row],[CATEGORIA]],TabCategoria[],2,FALSE),"")</f>
        <v/>
      </c>
      <c r="V49" t="str">
        <f>IF(LO[[#This Row],[CONTA/CARTAO]]="Cartão","Cartão",IF(LO[[#This Row],[CATEGORIA]]="Pagamento de Cartão","Fatura",""))</f>
        <v/>
      </c>
      <c r="W49">
        <f>IF(LO[[#This Row],[Tipo]]="Receita",LO[[#This Row],[Valor]],IF(LO[[#This Row],[Tipo]]="Despesa",-LO[[#This Row],[Valor]],0))</f>
        <v>-150</v>
      </c>
    </row>
    <row r="50" spans="2:23" hidden="1" x14ac:dyDescent="0.3">
      <c r="B50" s="11">
        <v>46114</v>
      </c>
      <c r="C50" s="11">
        <v>46152</v>
      </c>
      <c r="D50" t="s">
        <v>286</v>
      </c>
      <c r="E50" s="72">
        <v>45</v>
      </c>
      <c r="F50" t="s">
        <v>284</v>
      </c>
      <c r="G50" t="s">
        <v>281</v>
      </c>
      <c r="H50" t="s">
        <v>313</v>
      </c>
      <c r="J50" t="str">
        <f>IFERROR(VLOOKUP(LO[[#This Row],[Descrição]],TabCategoria[],2,FALSE),"")</f>
        <v>OPERACIONAL</v>
      </c>
      <c r="K50" t="str">
        <f>IFERROR(VLOOKUP(LO[[#This Row],[Descrição]],TabCategoria[],3,FALSE),"")</f>
        <v>DESPESA</v>
      </c>
      <c r="L50" t="str">
        <f>IFERROR(VLOOKUP(LO[[#This Row],[Descrição]],TabCategoria[],4,FALSE),"")</f>
        <v>Comunicação</v>
      </c>
      <c r="M50" t="str">
        <f>IFERROR(VLOOKUP(LO[[#This Row],[Descrição]],TabCategoria[],5,FALSE),"")</f>
        <v>Internet</v>
      </c>
      <c r="N50">
        <f>SUMIFS(TabCategoria[Meta Mês],TabCategoria[Categoria],LO[[#This Row],[CATEGORIA]])</f>
        <v>0</v>
      </c>
      <c r="O50" s="68">
        <f>SUMIFS(LO[Valor],LO[CATEGORIA],LO[[#This Row],[CATEGORIA]],LO[ANO],LO[[#This Row],[ANO]],LO[MÊS],LO[[#This Row],[MÊS]])
/COUNTIFS(LO[CATEGORIA],LO[[#This Row],[CATEGORIA]],LO[ANO],LO[[#This Row],[ANO]],LO[MÊS],LO[[#This Row],[MÊS]])</f>
        <v>29.5</v>
      </c>
      <c r="P5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0" t="str">
        <f>IFERROR(INDEX(TabInst[TIPO],MATCH(LO[[#This Row],[INSTITUIÇÃO]],TabInst[DESCRIÇÃO],0)),"")</f>
        <v/>
      </c>
      <c r="R50" t="str">
        <f>IFERROR(INDEX(TabInst[INSTITUIÇÃO],MATCH(LO[[#This Row],[INSTITUIÇÃO]],TabInst[DESCRIÇÃO],0)),"")</f>
        <v/>
      </c>
      <c r="S50" t="str">
        <f>PROPER(TEXT(LO[[#This Row],[DT Venc]],"MMM"))</f>
        <v>May</v>
      </c>
      <c r="T50">
        <f>YEAR(LO[[#This Row],[DT Venc]])</f>
        <v>2026</v>
      </c>
      <c r="U50" t="str">
        <f>IFERROR(VLOOKUP(LO[[#This Row],[CATEGORIA]],TabCategoria[],2,FALSE),"")</f>
        <v/>
      </c>
      <c r="V50" t="str">
        <f>IF(LO[[#This Row],[CONTA/CARTAO]]="Cartão","Cartão",IF(LO[[#This Row],[CATEGORIA]]="Pagamento de Cartão","Fatura",""))</f>
        <v/>
      </c>
      <c r="W50">
        <f>IF(LO[[#This Row],[Tipo]]="Receita",LO[[#This Row],[Valor]],IF(LO[[#This Row],[Tipo]]="Despesa",-LO[[#This Row],[Valor]],0))</f>
        <v>-45</v>
      </c>
    </row>
    <row r="51" spans="2:23" hidden="1" x14ac:dyDescent="0.3">
      <c r="B51" s="11">
        <v>46114</v>
      </c>
      <c r="C51" s="11">
        <v>46152</v>
      </c>
      <c r="D51" t="s">
        <v>287</v>
      </c>
      <c r="E51" s="72">
        <v>137</v>
      </c>
      <c r="F51" t="s">
        <v>284</v>
      </c>
      <c r="G51" t="s">
        <v>281</v>
      </c>
      <c r="H51" t="s">
        <v>313</v>
      </c>
      <c r="J51" t="str">
        <f>IFERROR(VLOOKUP(LO[[#This Row],[Descrição]],TabCategoria[],2,FALSE),"")</f>
        <v>NÃO OPERACIONAL</v>
      </c>
      <c r="K51" t="str">
        <f>IFERROR(VLOOKUP(LO[[#This Row],[Descrição]],TabCategoria[],3,FALSE),"")</f>
        <v>DESPESA</v>
      </c>
      <c r="L51" t="str">
        <f>IFERROR(VLOOKUP(LO[[#This Row],[Descrição]],TabCategoria[],4,FALSE),"")</f>
        <v>Pessoais</v>
      </c>
      <c r="M51" t="str">
        <f>IFERROR(VLOOKUP(LO[[#This Row],[Descrição]],TabCategoria[],5,FALSE),"")</f>
        <v>INTERNET CELULAR</v>
      </c>
      <c r="N51">
        <f>SUMIFS(TabCategoria[Meta Mês],TabCategoria[Categoria],LO[[#This Row],[CATEGORIA]])</f>
        <v>0</v>
      </c>
      <c r="O51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5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1" t="str">
        <f>IFERROR(INDEX(TabInst[TIPO],MATCH(LO[[#This Row],[INSTITUIÇÃO]],TabInst[DESCRIÇÃO],0)),"")</f>
        <v/>
      </c>
      <c r="R51" t="str">
        <f>IFERROR(INDEX(TabInst[INSTITUIÇÃO],MATCH(LO[[#This Row],[INSTITUIÇÃO]],TabInst[DESCRIÇÃO],0)),"")</f>
        <v/>
      </c>
      <c r="S51" t="str">
        <f>PROPER(TEXT(LO[[#This Row],[DT Venc]],"MMM"))</f>
        <v>May</v>
      </c>
      <c r="T51">
        <f>YEAR(LO[[#This Row],[DT Venc]])</f>
        <v>2026</v>
      </c>
      <c r="U51" t="str">
        <f>IFERROR(VLOOKUP(LO[[#This Row],[CATEGORIA]],TabCategoria[],2,FALSE),"")</f>
        <v/>
      </c>
      <c r="V51" t="str">
        <f>IF(LO[[#This Row],[CONTA/CARTAO]]="Cartão","Cartão",IF(LO[[#This Row],[CATEGORIA]]="Pagamento de Cartão","Fatura",""))</f>
        <v/>
      </c>
      <c r="W51">
        <f>IF(LO[[#This Row],[Tipo]]="Receita",LO[[#This Row],[Valor]],IF(LO[[#This Row],[Tipo]]="Despesa",-LO[[#This Row],[Valor]],0))</f>
        <v>-137</v>
      </c>
    </row>
    <row r="52" spans="2:23" hidden="1" x14ac:dyDescent="0.3">
      <c r="B52" s="11">
        <v>46114</v>
      </c>
      <c r="C52" s="11">
        <v>46152</v>
      </c>
      <c r="D52" t="s">
        <v>288</v>
      </c>
      <c r="E52" s="72">
        <v>14</v>
      </c>
      <c r="F52" t="s">
        <v>284</v>
      </c>
      <c r="G52" t="s">
        <v>280</v>
      </c>
      <c r="H52" t="s">
        <v>313</v>
      </c>
      <c r="I52" t="s">
        <v>320</v>
      </c>
      <c r="J52" t="str">
        <f>IFERROR(VLOOKUP(LO[[#This Row],[Descrição]],TabCategoria[],2,FALSE),"")</f>
        <v>OPERACIONAL</v>
      </c>
      <c r="K52" t="str">
        <f>IFERROR(VLOOKUP(LO[[#This Row],[Descrição]],TabCategoria[],3,FALSE),"")</f>
        <v>DESPESA</v>
      </c>
      <c r="L52" t="str">
        <f>IFERROR(VLOOKUP(LO[[#This Row],[Descrição]],TabCategoria[],4,FALSE),"")</f>
        <v>Comunicação</v>
      </c>
      <c r="M52" t="str">
        <f>IFERROR(VLOOKUP(LO[[#This Row],[Descrição]],TabCategoria[],5,FALSE),"")</f>
        <v>Apps (Netflix, Spotify, Skype, etc)</v>
      </c>
      <c r="N52">
        <f>SUMIFS(TabCategoria[Meta Mês],TabCategoria[Categoria],LO[[#This Row],[CATEGORIA]])</f>
        <v>0</v>
      </c>
      <c r="O52" s="68">
        <f>SUMIFS(LO[Valor],LO[CATEGORIA],LO[[#This Row],[CATEGORIA]],LO[ANO],LO[[#This Row],[ANO]],LO[MÊS],LO[[#This Row],[MÊS]])
/COUNTIFS(LO[CATEGORIA],LO[[#This Row],[CATEGORIA]],LO[ANO],LO[[#This Row],[ANO]],LO[MÊS],LO[[#This Row],[MÊS]])</f>
        <v>29.5</v>
      </c>
      <c r="P5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2" t="str">
        <f>IFERROR(INDEX(TabInst[TIPO],MATCH(LO[[#This Row],[INSTITUIÇÃO]],TabInst[DESCRIÇÃO],0)),"")</f>
        <v/>
      </c>
      <c r="R52" t="str">
        <f>IFERROR(INDEX(TabInst[INSTITUIÇÃO],MATCH(LO[[#This Row],[INSTITUIÇÃO]],TabInst[DESCRIÇÃO],0)),"")</f>
        <v/>
      </c>
      <c r="S52" t="str">
        <f>PROPER(TEXT(LO[[#This Row],[DT Venc]],"MMM"))</f>
        <v>May</v>
      </c>
      <c r="T52">
        <f>YEAR(LO[[#This Row],[DT Venc]])</f>
        <v>2026</v>
      </c>
      <c r="U52" t="str">
        <f>IFERROR(VLOOKUP(LO[[#This Row],[CATEGORIA]],TabCategoria[],2,FALSE),"")</f>
        <v/>
      </c>
      <c r="V52" t="str">
        <f>IF(LO[[#This Row],[CONTA/CARTAO]]="Cartão","Cartão",IF(LO[[#This Row],[CATEGORIA]]="Pagamento de Cartão","Fatura",""))</f>
        <v/>
      </c>
      <c r="W52">
        <f>IF(LO[[#This Row],[Tipo]]="Receita",LO[[#This Row],[Valor]],IF(LO[[#This Row],[Tipo]]="Despesa",-LO[[#This Row],[Valor]],0))</f>
        <v>-14</v>
      </c>
    </row>
    <row r="53" spans="2:23" hidden="1" x14ac:dyDescent="0.3">
      <c r="B53" s="11">
        <v>46114</v>
      </c>
      <c r="C53" s="11">
        <v>46152</v>
      </c>
      <c r="D53" t="s">
        <v>323</v>
      </c>
      <c r="E53" s="72">
        <v>122</v>
      </c>
      <c r="F53" t="s">
        <v>284</v>
      </c>
      <c r="G53" t="s">
        <v>281</v>
      </c>
      <c r="H53" t="s">
        <v>313</v>
      </c>
      <c r="I53" t="s">
        <v>324</v>
      </c>
      <c r="J53" t="str">
        <f>IFERROR(VLOOKUP(LO[[#This Row],[Descrição]],TabCategoria[],2,FALSE),"")</f>
        <v>NÃO OPERACIONAL</v>
      </c>
      <c r="K53" t="str">
        <f>IFERROR(VLOOKUP(LO[[#This Row],[Descrição]],TabCategoria[],3,FALSE),"")</f>
        <v>DESPESA</v>
      </c>
      <c r="L53" t="str">
        <f>IFERROR(VLOOKUP(LO[[#This Row],[Descrição]],TabCategoria[],4,FALSE),"")</f>
        <v>Empréstimo</v>
      </c>
      <c r="M53" t="str">
        <f>IFERROR(VLOOKUP(LO[[#This Row],[Descrição]],TabCategoria[],5,FALSE),"")</f>
        <v>Parcelamento Cartão de Crédito</v>
      </c>
      <c r="N53">
        <f>SUMIFS(TabCategoria[Meta Mês],TabCategoria[Categoria],LO[[#This Row],[CATEGORIA]])</f>
        <v>0</v>
      </c>
      <c r="O53" s="68">
        <f>SUMIFS(LO[Valor],LO[CATEGORIA],LO[[#This Row],[CATEGORIA]],LO[ANO],LO[[#This Row],[ANO]],LO[MÊS],LO[[#This Row],[MÊS]])
/COUNTIFS(LO[CATEGORIA],LO[[#This Row],[CATEGORIA]],LO[ANO],LO[[#This Row],[ANO]],LO[MÊS],LO[[#This Row],[MÊS]])</f>
        <v>395.536</v>
      </c>
      <c r="P5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3" t="str">
        <f>IFERROR(INDEX(TabInst[TIPO],MATCH(LO[[#This Row],[INSTITUIÇÃO]],TabInst[DESCRIÇÃO],0)),"")</f>
        <v/>
      </c>
      <c r="R53" t="str">
        <f>IFERROR(INDEX(TabInst[INSTITUIÇÃO],MATCH(LO[[#This Row],[INSTITUIÇÃO]],TabInst[DESCRIÇÃO],0)),"")</f>
        <v/>
      </c>
      <c r="S53" t="str">
        <f>PROPER(TEXT(LO[[#This Row],[DT Venc]],"MMM"))</f>
        <v>May</v>
      </c>
      <c r="T53">
        <f>YEAR(LO[[#This Row],[DT Venc]])</f>
        <v>2026</v>
      </c>
      <c r="U53" t="str">
        <f>IFERROR(VLOOKUP(LO[[#This Row],[CATEGORIA]],TabCategoria[],2,FALSE),"")</f>
        <v/>
      </c>
      <c r="V53" t="str">
        <f>IF(LO[[#This Row],[CONTA/CARTAO]]="Cartão","Cartão",IF(LO[[#This Row],[CATEGORIA]]="Pagamento de Cartão","Fatura",""))</f>
        <v/>
      </c>
      <c r="W53">
        <f>IF(LO[[#This Row],[Tipo]]="Receita",LO[[#This Row],[Valor]],IF(LO[[#This Row],[Tipo]]="Despesa",-LO[[#This Row],[Valor]],0))</f>
        <v>-122</v>
      </c>
    </row>
    <row r="54" spans="2:23" hidden="1" x14ac:dyDescent="0.3">
      <c r="B54" s="11">
        <v>46114</v>
      </c>
      <c r="C54" s="11">
        <v>46152</v>
      </c>
      <c r="D54" t="s">
        <v>289</v>
      </c>
      <c r="E54" s="72">
        <v>217</v>
      </c>
      <c r="F54" t="s">
        <v>284</v>
      </c>
      <c r="G54" t="s">
        <v>280</v>
      </c>
      <c r="H54" t="s">
        <v>313</v>
      </c>
      <c r="J54" t="str">
        <f>IFERROR(VLOOKUP(LO[[#This Row],[Descrição]],TabCategoria[],2,FALSE),"")</f>
        <v>NÃO OPERACIONAL</v>
      </c>
      <c r="K54" t="str">
        <f>IFERROR(VLOOKUP(LO[[#This Row],[Descrição]],TabCategoria[],3,FALSE),"")</f>
        <v>DESPESA</v>
      </c>
      <c r="L54" t="str">
        <f>IFERROR(VLOOKUP(LO[[#This Row],[Descrição]],TabCategoria[],4,FALSE),"")</f>
        <v>Lazer</v>
      </c>
      <c r="M54" t="str">
        <f>IFERROR(VLOOKUP(LO[[#This Row],[Descrição]],TabCategoria[],5,FALSE),"")</f>
        <v>CELULAR</v>
      </c>
      <c r="N54">
        <f>SUMIFS(TabCategoria[Meta Mês],TabCategoria[Categoria],LO[[#This Row],[CATEGORIA]])</f>
        <v>0</v>
      </c>
      <c r="O54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5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4" t="str">
        <f>IFERROR(INDEX(TabInst[TIPO],MATCH(LO[[#This Row],[INSTITUIÇÃO]],TabInst[DESCRIÇÃO],0)),"")</f>
        <v/>
      </c>
      <c r="R54" t="str">
        <f>IFERROR(INDEX(TabInst[INSTITUIÇÃO],MATCH(LO[[#This Row],[INSTITUIÇÃO]],TabInst[DESCRIÇÃO],0)),"")</f>
        <v/>
      </c>
      <c r="S54" t="str">
        <f>PROPER(TEXT(LO[[#This Row],[DT Venc]],"MMM"))</f>
        <v>May</v>
      </c>
      <c r="T54">
        <f>YEAR(LO[[#This Row],[DT Venc]])</f>
        <v>2026</v>
      </c>
      <c r="U54" t="str">
        <f>IFERROR(VLOOKUP(LO[[#This Row],[CATEGORIA]],TabCategoria[],2,FALSE),"")</f>
        <v/>
      </c>
      <c r="V54" t="str">
        <f>IF(LO[[#This Row],[CONTA/CARTAO]]="Cartão","Cartão",IF(LO[[#This Row],[CATEGORIA]]="Pagamento de Cartão","Fatura",""))</f>
        <v/>
      </c>
      <c r="W54">
        <f>IF(LO[[#This Row],[Tipo]]="Receita",LO[[#This Row],[Valor]],IF(LO[[#This Row],[Tipo]]="Despesa",-LO[[#This Row],[Valor]],0))</f>
        <v>-217</v>
      </c>
    </row>
    <row r="55" spans="2:23" hidden="1" x14ac:dyDescent="0.3">
      <c r="B55" s="11">
        <v>46114</v>
      </c>
      <c r="C55" s="11">
        <v>46152</v>
      </c>
      <c r="D55" t="s">
        <v>290</v>
      </c>
      <c r="E55" s="72">
        <v>67.8</v>
      </c>
      <c r="F55" t="s">
        <v>284</v>
      </c>
      <c r="G55" t="s">
        <v>280</v>
      </c>
      <c r="H55" t="s">
        <v>313</v>
      </c>
      <c r="J55" t="str">
        <f>IFERROR(VLOOKUP(LO[[#This Row],[Descrição]],TabCategoria[],2,FALSE),"")</f>
        <v>NÃO OPERACIONAL</v>
      </c>
      <c r="K55" t="str">
        <f>IFERROR(VLOOKUP(LO[[#This Row],[Descrição]],TabCategoria[],3,FALSE),"")</f>
        <v>DESPESA</v>
      </c>
      <c r="L55" t="str">
        <f>IFERROR(VLOOKUP(LO[[#This Row],[Descrição]],TabCategoria[],4,FALSE),"")</f>
        <v>Lazer</v>
      </c>
      <c r="M55" t="str">
        <f>IFERROR(VLOOKUP(LO[[#This Row],[Descrição]],TabCategoria[],5,FALSE),"")</f>
        <v>FONTE, COOLER</v>
      </c>
      <c r="N55">
        <f>SUMIFS(TabCategoria[Meta Mês],TabCategoria[Categoria],LO[[#This Row],[CATEGORIA]])</f>
        <v>0</v>
      </c>
      <c r="O55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5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5" t="str">
        <f>IFERROR(INDEX(TabInst[TIPO],MATCH(LO[[#This Row],[INSTITUIÇÃO]],TabInst[DESCRIÇÃO],0)),"")</f>
        <v/>
      </c>
      <c r="R55" t="str">
        <f>IFERROR(INDEX(TabInst[INSTITUIÇÃO],MATCH(LO[[#This Row],[INSTITUIÇÃO]],TabInst[DESCRIÇÃO],0)),"")</f>
        <v/>
      </c>
      <c r="S55" t="str">
        <f>PROPER(TEXT(LO[[#This Row],[DT Venc]],"MMM"))</f>
        <v>May</v>
      </c>
      <c r="T55">
        <f>YEAR(LO[[#This Row],[DT Venc]])</f>
        <v>2026</v>
      </c>
      <c r="U55" t="str">
        <f>IFERROR(VLOOKUP(LO[[#This Row],[CATEGORIA]],TabCategoria[],2,FALSE),"")</f>
        <v/>
      </c>
      <c r="V55" t="str">
        <f>IF(LO[[#This Row],[CONTA/CARTAO]]="Cartão","Cartão",IF(LO[[#This Row],[CATEGORIA]]="Pagamento de Cartão","Fatura",""))</f>
        <v/>
      </c>
      <c r="W55">
        <f>IF(LO[[#This Row],[Tipo]]="Receita",LO[[#This Row],[Valor]],IF(LO[[#This Row],[Tipo]]="Despesa",-LO[[#This Row],[Valor]],0))</f>
        <v>-67.8</v>
      </c>
    </row>
    <row r="56" spans="2:23" hidden="1" x14ac:dyDescent="0.3">
      <c r="B56" s="11">
        <v>46114</v>
      </c>
      <c r="C56" s="11">
        <v>46152</v>
      </c>
      <c r="D56" t="s">
        <v>323</v>
      </c>
      <c r="E56" s="72">
        <v>276</v>
      </c>
      <c r="F56" t="s">
        <v>284</v>
      </c>
      <c r="G56" t="s">
        <v>281</v>
      </c>
      <c r="H56" t="s">
        <v>313</v>
      </c>
      <c r="I56" t="s">
        <v>325</v>
      </c>
      <c r="J56" t="str">
        <f>IFERROR(VLOOKUP(LO[[#This Row],[Descrição]],TabCategoria[],2,FALSE),"")</f>
        <v>NÃO OPERACIONAL</v>
      </c>
      <c r="K56" t="str">
        <f>IFERROR(VLOOKUP(LO[[#This Row],[Descrição]],TabCategoria[],3,FALSE),"")</f>
        <v>DESPESA</v>
      </c>
      <c r="L56" t="str">
        <f>IFERROR(VLOOKUP(LO[[#This Row],[Descrição]],TabCategoria[],4,FALSE),"")</f>
        <v>Empréstimo</v>
      </c>
      <c r="M56" t="str">
        <f>IFERROR(VLOOKUP(LO[[#This Row],[Descrição]],TabCategoria[],5,FALSE),"")</f>
        <v>Parcelamento Cartão de Crédito</v>
      </c>
      <c r="N56">
        <f>SUMIFS(TabCategoria[Meta Mês],TabCategoria[Categoria],LO[[#This Row],[CATEGORIA]])</f>
        <v>0</v>
      </c>
      <c r="O56" s="68">
        <f>SUMIFS(LO[Valor],LO[CATEGORIA],LO[[#This Row],[CATEGORIA]],LO[ANO],LO[[#This Row],[ANO]],LO[MÊS],LO[[#This Row],[MÊS]])
/COUNTIFS(LO[CATEGORIA],LO[[#This Row],[CATEGORIA]],LO[ANO],LO[[#This Row],[ANO]],LO[MÊS],LO[[#This Row],[MÊS]])</f>
        <v>395.536</v>
      </c>
      <c r="P5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6" t="str">
        <f>IFERROR(INDEX(TabInst[TIPO],MATCH(LO[[#This Row],[INSTITUIÇÃO]],TabInst[DESCRIÇÃO],0)),"")</f>
        <v/>
      </c>
      <c r="R56" t="str">
        <f>IFERROR(INDEX(TabInst[INSTITUIÇÃO],MATCH(LO[[#This Row],[INSTITUIÇÃO]],TabInst[DESCRIÇÃO],0)),"")</f>
        <v/>
      </c>
      <c r="S56" t="str">
        <f>PROPER(TEXT(LO[[#This Row],[DT Venc]],"MMM"))</f>
        <v>May</v>
      </c>
      <c r="T56">
        <f>YEAR(LO[[#This Row],[DT Venc]])</f>
        <v>2026</v>
      </c>
      <c r="U56" t="str">
        <f>IFERROR(VLOOKUP(LO[[#This Row],[CATEGORIA]],TabCategoria[],2,FALSE),"")</f>
        <v/>
      </c>
      <c r="V56" t="str">
        <f>IF(LO[[#This Row],[CONTA/CARTAO]]="Cartão","Cartão",IF(LO[[#This Row],[CATEGORIA]]="Pagamento de Cartão","Fatura",""))</f>
        <v/>
      </c>
      <c r="W56">
        <f>IF(LO[[#This Row],[Tipo]]="Receita",LO[[#This Row],[Valor]],IF(LO[[#This Row],[Tipo]]="Despesa",-LO[[#This Row],[Valor]],0))</f>
        <v>-276</v>
      </c>
    </row>
    <row r="57" spans="2:23" hidden="1" x14ac:dyDescent="0.3">
      <c r="B57" s="11">
        <v>46114</v>
      </c>
      <c r="C57" s="11">
        <v>46152</v>
      </c>
      <c r="D57" t="s">
        <v>291</v>
      </c>
      <c r="E57" s="72">
        <v>50</v>
      </c>
      <c r="F57" t="s">
        <v>284</v>
      </c>
      <c r="G57" t="s">
        <v>280</v>
      </c>
      <c r="H57" t="s">
        <v>313</v>
      </c>
      <c r="J57" t="str">
        <f>IFERROR(VLOOKUP(LO[[#This Row],[Descrição]],TabCategoria[],2,FALSE),"")</f>
        <v>NÃO OPERACIONAL</v>
      </c>
      <c r="K57" t="str">
        <f>IFERROR(VLOOKUP(LO[[#This Row],[Descrição]],TabCategoria[],3,FALSE),"")</f>
        <v>DESPESA</v>
      </c>
      <c r="L57" t="str">
        <f>IFERROR(VLOOKUP(LO[[#This Row],[Descrição]],TabCategoria[],4,FALSE),"")</f>
        <v>Lazer</v>
      </c>
      <c r="M57" t="str">
        <f>IFERROR(VLOOKUP(LO[[#This Row],[Descrição]],TabCategoria[],5,FALSE),"")</f>
        <v>CADEIRA</v>
      </c>
      <c r="N57">
        <f>SUMIFS(TabCategoria[Meta Mês],TabCategoria[Categoria],LO[[#This Row],[CATEGORIA]])</f>
        <v>0</v>
      </c>
      <c r="O57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5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7" t="str">
        <f>IFERROR(INDEX(TabInst[TIPO],MATCH(LO[[#This Row],[INSTITUIÇÃO]],TabInst[DESCRIÇÃO],0)),"")</f>
        <v/>
      </c>
      <c r="R57" t="str">
        <f>IFERROR(INDEX(TabInst[INSTITUIÇÃO],MATCH(LO[[#This Row],[INSTITUIÇÃO]],TabInst[DESCRIÇÃO],0)),"")</f>
        <v/>
      </c>
      <c r="S57" t="str">
        <f>PROPER(TEXT(LO[[#This Row],[DT Venc]],"MMM"))</f>
        <v>May</v>
      </c>
      <c r="T57">
        <f>YEAR(LO[[#This Row],[DT Venc]])</f>
        <v>2026</v>
      </c>
      <c r="U57" t="str">
        <f>IFERROR(VLOOKUP(LO[[#This Row],[CATEGORIA]],TabCategoria[],2,FALSE),"")</f>
        <v/>
      </c>
      <c r="V57" t="str">
        <f>IF(LO[[#This Row],[CONTA/CARTAO]]="Cartão","Cartão",IF(LO[[#This Row],[CATEGORIA]]="Pagamento de Cartão","Fatura",""))</f>
        <v/>
      </c>
      <c r="W57">
        <f>IF(LO[[#This Row],[Tipo]]="Receita",LO[[#This Row],[Valor]],IF(LO[[#This Row],[Tipo]]="Despesa",-LO[[#This Row],[Valor]],0))</f>
        <v>-50</v>
      </c>
    </row>
    <row r="58" spans="2:23" hidden="1" x14ac:dyDescent="0.3">
      <c r="B58" s="11">
        <v>46114</v>
      </c>
      <c r="C58" s="11">
        <v>46152</v>
      </c>
      <c r="D58" t="s">
        <v>292</v>
      </c>
      <c r="E58" s="72">
        <v>150</v>
      </c>
      <c r="F58" t="s">
        <v>284</v>
      </c>
      <c r="G58" t="s">
        <v>280</v>
      </c>
      <c r="H58" t="s">
        <v>313</v>
      </c>
      <c r="J58" t="str">
        <f>IFERROR(VLOOKUP(LO[[#This Row],[Descrição]],TabCategoria[],2,FALSE),"")</f>
        <v>NÃO OPERACIONAL</v>
      </c>
      <c r="K58" t="str">
        <f>IFERROR(VLOOKUP(LO[[#This Row],[Descrição]],TabCategoria[],3,FALSE),"")</f>
        <v>DESPESA</v>
      </c>
      <c r="L58" t="str">
        <f>IFERROR(VLOOKUP(LO[[#This Row],[Descrição]],TabCategoria[],4,FALSE),"")</f>
        <v>Lazer</v>
      </c>
      <c r="M58" t="str">
        <f>IFERROR(VLOOKUP(LO[[#This Row],[Descrição]],TabCategoria[],5,FALSE),"")</f>
        <v>PLACA MAE</v>
      </c>
      <c r="N58">
        <f>SUMIFS(TabCategoria[Meta Mês],TabCategoria[Categoria],LO[[#This Row],[CATEGORIA]])</f>
        <v>0</v>
      </c>
      <c r="O58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5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8" t="str">
        <f>IFERROR(INDEX(TabInst[TIPO],MATCH(LO[[#This Row],[INSTITUIÇÃO]],TabInst[DESCRIÇÃO],0)),"")</f>
        <v/>
      </c>
      <c r="R58" t="str">
        <f>IFERROR(INDEX(TabInst[INSTITUIÇÃO],MATCH(LO[[#This Row],[INSTITUIÇÃO]],TabInst[DESCRIÇÃO],0)),"")</f>
        <v/>
      </c>
      <c r="S58" t="str">
        <f>PROPER(TEXT(LO[[#This Row],[DT Venc]],"MMM"))</f>
        <v>May</v>
      </c>
      <c r="T58">
        <f>YEAR(LO[[#This Row],[DT Venc]])</f>
        <v>2026</v>
      </c>
      <c r="U58" t="str">
        <f>IFERROR(VLOOKUP(LO[[#This Row],[CATEGORIA]],TabCategoria[],2,FALSE),"")</f>
        <v/>
      </c>
      <c r="V58" t="str">
        <f>IF(LO[[#This Row],[CONTA/CARTAO]]="Cartão","Cartão",IF(LO[[#This Row],[CATEGORIA]]="Pagamento de Cartão","Fatura",""))</f>
        <v/>
      </c>
      <c r="W58">
        <f>IF(LO[[#This Row],[Tipo]]="Receita",LO[[#This Row],[Valor]],IF(LO[[#This Row],[Tipo]]="Despesa",-LO[[#This Row],[Valor]],0))</f>
        <v>-150</v>
      </c>
    </row>
    <row r="59" spans="2:23" hidden="1" x14ac:dyDescent="0.3">
      <c r="B59" s="11">
        <v>46114</v>
      </c>
      <c r="C59" s="11">
        <v>46152</v>
      </c>
      <c r="D59" t="s">
        <v>293</v>
      </c>
      <c r="E59" s="72">
        <v>136</v>
      </c>
      <c r="F59" t="s">
        <v>284</v>
      </c>
      <c r="G59" t="s">
        <v>280</v>
      </c>
      <c r="H59" t="s">
        <v>313</v>
      </c>
      <c r="J59" t="str">
        <f>IFERROR(VLOOKUP(LO[[#This Row],[Descrição]],TabCategoria[],2,FALSE),"")</f>
        <v>NÃO OPERACIONAL</v>
      </c>
      <c r="K59" t="str">
        <f>IFERROR(VLOOKUP(LO[[#This Row],[Descrição]],TabCategoria[],3,FALSE),"")</f>
        <v>DESPESA</v>
      </c>
      <c r="L59" t="str">
        <f>IFERROR(VLOOKUP(LO[[#This Row],[Descrição]],TabCategoria[],4,FALSE),"")</f>
        <v>Lazer</v>
      </c>
      <c r="M59" t="str">
        <f>IFERROR(VLOOKUP(LO[[#This Row],[Descrição]],TabCategoria[],5,FALSE),"")</f>
        <v>PROCESSADOR</v>
      </c>
      <c r="N59">
        <f>SUMIFS(TabCategoria[Meta Mês],TabCategoria[Categoria],LO[[#This Row],[CATEGORIA]])</f>
        <v>0</v>
      </c>
      <c r="O59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5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59" t="str">
        <f>IFERROR(INDEX(TabInst[TIPO],MATCH(LO[[#This Row],[INSTITUIÇÃO]],TabInst[DESCRIÇÃO],0)),"")</f>
        <v/>
      </c>
      <c r="R59" t="str">
        <f>IFERROR(INDEX(TabInst[INSTITUIÇÃO],MATCH(LO[[#This Row],[INSTITUIÇÃO]],TabInst[DESCRIÇÃO],0)),"")</f>
        <v/>
      </c>
      <c r="S59" t="str">
        <f>PROPER(TEXT(LO[[#This Row],[DT Venc]],"MMM"))</f>
        <v>May</v>
      </c>
      <c r="T59">
        <f>YEAR(LO[[#This Row],[DT Venc]])</f>
        <v>2026</v>
      </c>
      <c r="U59" t="str">
        <f>IFERROR(VLOOKUP(LO[[#This Row],[CATEGORIA]],TabCategoria[],2,FALSE),"")</f>
        <v/>
      </c>
      <c r="V59" t="str">
        <f>IF(LO[[#This Row],[CONTA/CARTAO]]="Cartão","Cartão",IF(LO[[#This Row],[CATEGORIA]]="Pagamento de Cartão","Fatura",""))</f>
        <v/>
      </c>
      <c r="W59">
        <f>IF(LO[[#This Row],[Tipo]]="Receita",LO[[#This Row],[Valor]],IF(LO[[#This Row],[Tipo]]="Despesa",-LO[[#This Row],[Valor]],0))</f>
        <v>-136</v>
      </c>
    </row>
    <row r="60" spans="2:23" hidden="1" x14ac:dyDescent="0.3">
      <c r="B60" s="11">
        <v>46114</v>
      </c>
      <c r="C60" s="11">
        <v>46152</v>
      </c>
      <c r="D60" t="s">
        <v>294</v>
      </c>
      <c r="E60" s="72">
        <v>66.900000000000006</v>
      </c>
      <c r="F60" t="s">
        <v>284</v>
      </c>
      <c r="G60" t="s">
        <v>282</v>
      </c>
      <c r="H60" t="s">
        <v>313</v>
      </c>
      <c r="J60" t="str">
        <f>IFERROR(VLOOKUP(LO[[#This Row],[Descrição]],TabCategoria[],2,FALSE),"")</f>
        <v>NÃO OPERACIONAL</v>
      </c>
      <c r="K60" t="str">
        <f>IFERROR(VLOOKUP(LO[[#This Row],[Descrição]],TabCategoria[],3,FALSE),"")</f>
        <v>DESPESA</v>
      </c>
      <c r="L60" t="str">
        <f>IFERROR(VLOOKUP(LO[[#This Row],[Descrição]],TabCategoria[],4,FALSE),"")</f>
        <v>Lazer</v>
      </c>
      <c r="M60" t="str">
        <f>IFERROR(VLOOKUP(LO[[#This Row],[Descrição]],TabCategoria[],5,FALSE),"")</f>
        <v>APPLE</v>
      </c>
      <c r="N60">
        <f>SUMIFS(TabCategoria[Meta Mês],TabCategoria[Categoria],LO[[#This Row],[CATEGORIA]])</f>
        <v>0</v>
      </c>
      <c r="O60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6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0" t="str">
        <f>IFERROR(INDEX(TabInst[TIPO],MATCH(LO[[#This Row],[INSTITUIÇÃO]],TabInst[DESCRIÇÃO],0)),"")</f>
        <v/>
      </c>
      <c r="R60" t="str">
        <f>IFERROR(INDEX(TabInst[INSTITUIÇÃO],MATCH(LO[[#This Row],[INSTITUIÇÃO]],TabInst[DESCRIÇÃO],0)),"")</f>
        <v/>
      </c>
      <c r="S60" t="str">
        <f>PROPER(TEXT(LO[[#This Row],[DT Venc]],"MMM"))</f>
        <v>May</v>
      </c>
      <c r="T60">
        <f>YEAR(LO[[#This Row],[DT Venc]])</f>
        <v>2026</v>
      </c>
      <c r="U60" t="str">
        <f>IFERROR(VLOOKUP(LO[[#This Row],[CATEGORIA]],TabCategoria[],2,FALSE),"")</f>
        <v/>
      </c>
      <c r="V60" t="str">
        <f>IF(LO[[#This Row],[CONTA/CARTAO]]="Cartão","Cartão",IF(LO[[#This Row],[CATEGORIA]]="Pagamento de Cartão","Fatura",""))</f>
        <v/>
      </c>
      <c r="W60">
        <f>IF(LO[[#This Row],[Tipo]]="Receita",LO[[#This Row],[Valor]],IF(LO[[#This Row],[Tipo]]="Despesa",-LO[[#This Row],[Valor]],0))</f>
        <v>-66.900000000000006</v>
      </c>
    </row>
    <row r="61" spans="2:23" hidden="1" x14ac:dyDescent="0.3">
      <c r="B61" s="11">
        <v>46114</v>
      </c>
      <c r="C61" s="11">
        <v>46152</v>
      </c>
      <c r="D61" t="s">
        <v>292</v>
      </c>
      <c r="E61" s="13">
        <v>120</v>
      </c>
      <c r="F61" t="s">
        <v>284</v>
      </c>
      <c r="G61" t="s">
        <v>280</v>
      </c>
      <c r="H61" t="s">
        <v>313</v>
      </c>
      <c r="J61" t="str">
        <f>IFERROR(VLOOKUP(LO[[#This Row],[Descrição]],TabCategoria[],2,FALSE),"")</f>
        <v>NÃO OPERACIONAL</v>
      </c>
      <c r="K61" t="str">
        <f>IFERROR(VLOOKUP(LO[[#This Row],[Descrição]],TabCategoria[],3,FALSE),"")</f>
        <v>DESPESA</v>
      </c>
      <c r="L61" t="str">
        <f>IFERROR(VLOOKUP(LO[[#This Row],[Descrição]],TabCategoria[],4,FALSE),"")</f>
        <v>Lazer</v>
      </c>
      <c r="M61" t="str">
        <f>IFERROR(VLOOKUP(LO[[#This Row],[Descrição]],TabCategoria[],5,FALSE),"")</f>
        <v>PLACA MAE</v>
      </c>
      <c r="N61">
        <f>SUMIFS(TabCategoria[Meta Mês],TabCategoria[Categoria],LO[[#This Row],[CATEGORIA]])</f>
        <v>0</v>
      </c>
      <c r="O61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6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1" t="str">
        <f>IFERROR(INDEX(TabInst[TIPO],MATCH(LO[[#This Row],[INSTITUIÇÃO]],TabInst[DESCRIÇÃO],0)),"")</f>
        <v/>
      </c>
      <c r="R61" t="str">
        <f>IFERROR(INDEX(TabInst[INSTITUIÇÃO],MATCH(LO[[#This Row],[INSTITUIÇÃO]],TabInst[DESCRIÇÃO],0)),"")</f>
        <v/>
      </c>
      <c r="S61" t="str">
        <f>PROPER(TEXT(LO[[#This Row],[DT Venc]],"MMM"))</f>
        <v>May</v>
      </c>
      <c r="T61">
        <f>YEAR(LO[[#This Row],[DT Venc]])</f>
        <v>2026</v>
      </c>
      <c r="U61" t="str">
        <f>IFERROR(VLOOKUP(LO[[#This Row],[CATEGORIA]],TabCategoria[],2,FALSE),"")</f>
        <v/>
      </c>
      <c r="V61" t="str">
        <f>IF(LO[[#This Row],[CONTA/CARTAO]]="Cartão","Cartão",IF(LO[[#This Row],[CATEGORIA]]="Pagamento de Cartão","Fatura",""))</f>
        <v/>
      </c>
      <c r="W61">
        <f>IF(LO[[#This Row],[Tipo]]="Receita",LO[[#This Row],[Valor]],IF(LO[[#This Row],[Tipo]]="Despesa",-LO[[#This Row],[Valor]],0))</f>
        <v>-120</v>
      </c>
    </row>
    <row r="62" spans="2:23" hidden="1" x14ac:dyDescent="0.3">
      <c r="B62" s="11">
        <v>46114</v>
      </c>
      <c r="C62" s="11">
        <v>46152</v>
      </c>
      <c r="D62" t="s">
        <v>303</v>
      </c>
      <c r="E62" s="28">
        <v>100</v>
      </c>
      <c r="F62" t="s">
        <v>284</v>
      </c>
      <c r="G62" t="s">
        <v>330</v>
      </c>
      <c r="H62" t="s">
        <v>313</v>
      </c>
      <c r="I62" t="s">
        <v>329</v>
      </c>
      <c r="J62" t="str">
        <f>IFERROR(VLOOKUP(LO[[#This Row],[Descrição]],TabCategoria[],2,FALSE),"")</f>
        <v>OPERACIONAL</v>
      </c>
      <c r="K62" t="str">
        <f>IFERROR(VLOOKUP(LO[[#This Row],[Descrição]],TabCategoria[],3,FALSE),"")</f>
        <v>RECEITA</v>
      </c>
      <c r="L62" t="str">
        <f>IFERROR(VLOOKUP(LO[[#This Row],[Descrição]],TabCategoria[],4,FALSE),"")</f>
        <v>Renda Extra</v>
      </c>
      <c r="M62" t="str">
        <f>IFERROR(VLOOKUP(LO[[#This Row],[Descrição]],TabCategoria[],5,FALSE),"")</f>
        <v>Outras fontes de renda</v>
      </c>
      <c r="N62">
        <f>SUMIFS(TabCategoria[Meta Mês],TabCategoria[Categoria],LO[[#This Row],[CATEGORIA]])</f>
        <v>0</v>
      </c>
      <c r="O62" s="68">
        <f>SUMIFS(LO[Valor],LO[CATEGORIA],LO[[#This Row],[CATEGORIA]],LO[ANO],LO[[#This Row],[ANO]],LO[MÊS],LO[[#This Row],[MÊS]])
/COUNTIFS(LO[CATEGORIA],LO[[#This Row],[CATEGORIA]],LO[ANO],LO[[#This Row],[ANO]],LO[MÊS],LO[[#This Row],[MÊS]])</f>
        <v>2550</v>
      </c>
      <c r="P6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2" t="str">
        <f>IFERROR(INDEX(TabInst[TIPO],MATCH(LO[[#This Row],[INSTITUIÇÃO]],TabInst[DESCRIÇÃO],0)),"")</f>
        <v/>
      </c>
      <c r="R62" t="str">
        <f>IFERROR(INDEX(TabInst[INSTITUIÇÃO],MATCH(LO[[#This Row],[INSTITUIÇÃO]],TabInst[DESCRIÇÃO],0)),"")</f>
        <v/>
      </c>
      <c r="S62" t="str">
        <f>PROPER(TEXT(LO[[#This Row],[DT Venc]],"MMM"))</f>
        <v>May</v>
      </c>
      <c r="T62">
        <f>YEAR(LO[[#This Row],[DT Venc]])</f>
        <v>2026</v>
      </c>
      <c r="U62" t="str">
        <f>IFERROR(VLOOKUP(LO[[#This Row],[CATEGORIA]],TabCategoria[],2,FALSE),"")</f>
        <v/>
      </c>
      <c r="V62" t="str">
        <f>IF(LO[[#This Row],[CONTA/CARTAO]]="Cartão","Cartão",IF(LO[[#This Row],[CATEGORIA]]="Pagamento de Cartão","Fatura",""))</f>
        <v/>
      </c>
      <c r="W62">
        <f>IF(LO[[#This Row],[Tipo]]="Receita",LO[[#This Row],[Valor]],IF(LO[[#This Row],[Tipo]]="Despesa",-LO[[#This Row],[Valor]],0))</f>
        <v>100</v>
      </c>
    </row>
    <row r="63" spans="2:23" hidden="1" x14ac:dyDescent="0.3">
      <c r="B63" s="11">
        <v>46114</v>
      </c>
      <c r="C63" s="11">
        <v>46152</v>
      </c>
      <c r="D63" t="s">
        <v>342</v>
      </c>
      <c r="E63" s="28">
        <v>130</v>
      </c>
      <c r="F63" t="s">
        <v>284</v>
      </c>
      <c r="G63" t="s">
        <v>282</v>
      </c>
      <c r="H63" t="s">
        <v>313</v>
      </c>
      <c r="I63" t="s">
        <v>346</v>
      </c>
      <c r="J63" t="str">
        <f>IFERROR(VLOOKUP(LO[[#This Row],[Descrição]],TabCategoria[],2,FALSE),"")</f>
        <v>OPERACIONAL</v>
      </c>
      <c r="K63" t="str">
        <f>IFERROR(VLOOKUP(LO[[#This Row],[Descrição]],TabCategoria[],3,FALSE),"")</f>
        <v>DESPESA</v>
      </c>
      <c r="L63" t="str">
        <f>IFERROR(VLOOKUP(LO[[#This Row],[Descrição]],TabCategoria[],4,FALSE),"")</f>
        <v>Lazer</v>
      </c>
      <c r="M63" t="str">
        <f>IFERROR(VLOOKUP(LO[[#This Row],[Descrição]],TabCategoria[],5,FALSE),"")</f>
        <v>Outros Lazer</v>
      </c>
      <c r="N63">
        <f>SUMIFS(TabCategoria[Meta Mês],TabCategoria[Categoria],LO[[#This Row],[CATEGORIA]])</f>
        <v>0</v>
      </c>
      <c r="O63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6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3" t="str">
        <f>IFERROR(INDEX(TabInst[TIPO],MATCH(LO[[#This Row],[INSTITUIÇÃO]],TabInst[DESCRIÇÃO],0)),"")</f>
        <v/>
      </c>
      <c r="R63" t="str">
        <f>IFERROR(INDEX(TabInst[INSTITUIÇÃO],MATCH(LO[[#This Row],[INSTITUIÇÃO]],TabInst[DESCRIÇÃO],0)),"")</f>
        <v/>
      </c>
      <c r="S63" t="str">
        <f>PROPER(TEXT(LO[[#This Row],[DT Venc]],"MMM"))</f>
        <v>May</v>
      </c>
      <c r="T63">
        <f>YEAR(LO[[#This Row],[DT Venc]])</f>
        <v>2026</v>
      </c>
      <c r="U63" t="str">
        <f>IFERROR(VLOOKUP(LO[[#This Row],[CATEGORIA]],TabCategoria[],2,FALSE),"")</f>
        <v/>
      </c>
      <c r="V63" t="str">
        <f>IF(LO[[#This Row],[CONTA/CARTAO]]="Cartão","Cartão",IF(LO[[#This Row],[CATEGORIA]]="Pagamento de Cartão","Fatura",""))</f>
        <v/>
      </c>
      <c r="W63">
        <f>IF(LO[[#This Row],[Tipo]]="Receita",LO[[#This Row],[Valor]],IF(LO[[#This Row],[Tipo]]="Despesa",-LO[[#This Row],[Valor]],0))</f>
        <v>-130</v>
      </c>
    </row>
    <row r="64" spans="2:23" hidden="1" x14ac:dyDescent="0.3">
      <c r="B64" s="11">
        <v>46114</v>
      </c>
      <c r="C64" s="11">
        <v>46152</v>
      </c>
      <c r="D64" t="s">
        <v>342</v>
      </c>
      <c r="E64" s="28">
        <v>80</v>
      </c>
      <c r="F64" t="s">
        <v>284</v>
      </c>
      <c r="G64" t="s">
        <v>282</v>
      </c>
      <c r="H64" t="s">
        <v>313</v>
      </c>
      <c r="I64" t="s">
        <v>347</v>
      </c>
      <c r="J64" t="str">
        <f>IFERROR(VLOOKUP(LO[[#This Row],[Descrição]],TabCategoria[],2,FALSE),"")</f>
        <v>OPERACIONAL</v>
      </c>
      <c r="K64" t="str">
        <f>IFERROR(VLOOKUP(LO[[#This Row],[Descrição]],TabCategoria[],3,FALSE),"")</f>
        <v>DESPESA</v>
      </c>
      <c r="L64" t="str">
        <f>IFERROR(VLOOKUP(LO[[#This Row],[Descrição]],TabCategoria[],4,FALSE),"")</f>
        <v>Lazer</v>
      </c>
      <c r="M64" t="str">
        <f>IFERROR(VLOOKUP(LO[[#This Row],[Descrição]],TabCategoria[],5,FALSE),"")</f>
        <v>Outros Lazer</v>
      </c>
      <c r="N64">
        <f>SUMIFS(TabCategoria[Meta Mês],TabCategoria[Categoria],LO[[#This Row],[CATEGORIA]])</f>
        <v>0</v>
      </c>
      <c r="O64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6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4" t="str">
        <f>IFERROR(INDEX(TabInst[TIPO],MATCH(LO[[#This Row],[INSTITUIÇÃO]],TabInst[DESCRIÇÃO],0)),"")</f>
        <v/>
      </c>
      <c r="R64" t="str">
        <f>IFERROR(INDEX(TabInst[INSTITUIÇÃO],MATCH(LO[[#This Row],[INSTITUIÇÃO]],TabInst[DESCRIÇÃO],0)),"")</f>
        <v/>
      </c>
      <c r="S64" t="str">
        <f>PROPER(TEXT(LO[[#This Row],[DT Venc]],"MMM"))</f>
        <v>May</v>
      </c>
      <c r="T64">
        <f>YEAR(LO[[#This Row],[DT Venc]])</f>
        <v>2026</v>
      </c>
      <c r="U64" t="str">
        <f>IFERROR(VLOOKUP(LO[[#This Row],[CATEGORIA]],TabCategoria[],2,FALSE),"")</f>
        <v/>
      </c>
      <c r="V64" t="str">
        <f>IF(LO[[#This Row],[CONTA/CARTAO]]="Cartão","Cartão",IF(LO[[#This Row],[CATEGORIA]]="Pagamento de Cartão","Fatura",""))</f>
        <v/>
      </c>
      <c r="W64">
        <f>IF(LO[[#This Row],[Tipo]]="Receita",LO[[#This Row],[Valor]],IF(LO[[#This Row],[Tipo]]="Despesa",-LO[[#This Row],[Valor]],0))</f>
        <v>-80</v>
      </c>
    </row>
    <row r="65" spans="2:23" hidden="1" x14ac:dyDescent="0.3">
      <c r="B65" s="11">
        <v>46114</v>
      </c>
      <c r="C65" s="11">
        <v>46152</v>
      </c>
      <c r="D65" t="s">
        <v>303</v>
      </c>
      <c r="E65" s="28">
        <v>5000</v>
      </c>
      <c r="F65" t="s">
        <v>348</v>
      </c>
      <c r="G65" t="s">
        <v>349</v>
      </c>
      <c r="H65" t="s">
        <v>313</v>
      </c>
      <c r="I65" t="s">
        <v>350</v>
      </c>
      <c r="J65" t="str">
        <f>IFERROR(VLOOKUP(LO[[#This Row],[Descrição]],TabCategoria[],2,FALSE),"")</f>
        <v>OPERACIONAL</v>
      </c>
      <c r="K65" t="str">
        <f>IFERROR(VLOOKUP(LO[[#This Row],[Descrição]],TabCategoria[],3,FALSE),"")</f>
        <v>RECEITA</v>
      </c>
      <c r="L65" t="str">
        <f>IFERROR(VLOOKUP(LO[[#This Row],[Descrição]],TabCategoria[],4,FALSE),"")</f>
        <v>Renda Extra</v>
      </c>
      <c r="M65" t="str">
        <f>IFERROR(VLOOKUP(LO[[#This Row],[Descrição]],TabCategoria[],5,FALSE),"")</f>
        <v>Outras fontes de renda</v>
      </c>
      <c r="N65">
        <f>SUMIFS(TabCategoria[Meta Mês],TabCategoria[Categoria],LO[[#This Row],[CATEGORIA]])</f>
        <v>0</v>
      </c>
      <c r="O65" s="68">
        <f>SUMIFS(LO[Valor],LO[CATEGORIA],LO[[#This Row],[CATEGORIA]],LO[ANO],LO[[#This Row],[ANO]],LO[MÊS],LO[[#This Row],[MÊS]])
/COUNTIFS(LO[CATEGORIA],LO[[#This Row],[CATEGORIA]],LO[ANO],LO[[#This Row],[ANO]],LO[MÊS],LO[[#This Row],[MÊS]])</f>
        <v>2550</v>
      </c>
      <c r="P6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5" t="str">
        <f>IFERROR(INDEX(TabInst[TIPO],MATCH(LO[[#This Row],[INSTITUIÇÃO]],TabInst[DESCRIÇÃO],0)),"")</f>
        <v/>
      </c>
      <c r="R65" t="str">
        <f>IFERROR(INDEX(TabInst[INSTITUIÇÃO],MATCH(LO[[#This Row],[INSTITUIÇÃO]],TabInst[DESCRIÇÃO],0)),"")</f>
        <v/>
      </c>
      <c r="S65" t="str">
        <f>PROPER(TEXT(LO[[#This Row],[DT Venc]],"MMM"))</f>
        <v>May</v>
      </c>
      <c r="T65">
        <f>YEAR(LO[[#This Row],[DT Venc]])</f>
        <v>2026</v>
      </c>
      <c r="U65" t="str">
        <f>IFERROR(VLOOKUP(LO[[#This Row],[CATEGORIA]],TabCategoria[],2,FALSE),"")</f>
        <v/>
      </c>
      <c r="V65" t="str">
        <f>IF(LO[[#This Row],[CONTA/CARTAO]]="Cartão","Cartão",IF(LO[[#This Row],[CATEGORIA]]="Pagamento de Cartão","Fatura",""))</f>
        <v/>
      </c>
      <c r="W65">
        <f>IF(LO[[#This Row],[Tipo]]="Receita",LO[[#This Row],[Valor]],IF(LO[[#This Row],[Tipo]]="Despesa",-LO[[#This Row],[Valor]],0))</f>
        <v>5000</v>
      </c>
    </row>
    <row r="66" spans="2:23" hidden="1" x14ac:dyDescent="0.3">
      <c r="B66" s="11">
        <v>46125</v>
      </c>
      <c r="C66" s="11">
        <v>46152</v>
      </c>
      <c r="D66" t="s">
        <v>326</v>
      </c>
      <c r="E66" s="28">
        <v>391</v>
      </c>
      <c r="F66" t="s">
        <v>353</v>
      </c>
      <c r="G66" t="s">
        <v>354</v>
      </c>
      <c r="H66" t="s">
        <v>313</v>
      </c>
      <c r="I66" t="s">
        <v>352</v>
      </c>
      <c r="J66" t="str">
        <f>IFERROR(VLOOKUP(LO[[#This Row],[Descrição]],TabCategoria[],2,FALSE),"")</f>
        <v>NÃO OPERACIONAL</v>
      </c>
      <c r="K66" t="str">
        <f>IFERROR(VLOOKUP(LO[[#This Row],[Descrição]],TabCategoria[],3,FALSE),"")</f>
        <v>DESPESA</v>
      </c>
      <c r="L66" t="str">
        <f>IFERROR(VLOOKUP(LO[[#This Row],[Descrição]],TabCategoria[],4,FALSE),"")</f>
        <v>Empréstimo</v>
      </c>
      <c r="M66" t="str">
        <f>IFERROR(VLOOKUP(LO[[#This Row],[Descrição]],TabCategoria[],5,FALSE),"")</f>
        <v>Empréstimo Pessoal - Banco</v>
      </c>
      <c r="N66">
        <f>SUMIFS(TabCategoria[Meta Mês],TabCategoria[Categoria],LO[[#This Row],[CATEGORIA]])</f>
        <v>0</v>
      </c>
      <c r="O66" s="68">
        <f>SUMIFS(LO[Valor],LO[CATEGORIA],LO[[#This Row],[CATEGORIA]],LO[ANO],LO[[#This Row],[ANO]],LO[MÊS],LO[[#This Row],[MÊS]])
/COUNTIFS(LO[CATEGORIA],LO[[#This Row],[CATEGORIA]],LO[ANO],LO[[#This Row],[ANO]],LO[MÊS],LO[[#This Row],[MÊS]])</f>
        <v>395.536</v>
      </c>
      <c r="P6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6" t="str">
        <f>IFERROR(INDEX(TabInst[TIPO],MATCH(LO[[#This Row],[INSTITUIÇÃO]],TabInst[DESCRIÇÃO],0)),"")</f>
        <v/>
      </c>
      <c r="R66" t="str">
        <f>IFERROR(INDEX(TabInst[INSTITUIÇÃO],MATCH(LO[[#This Row],[INSTITUIÇÃO]],TabInst[DESCRIÇÃO],0)),"")</f>
        <v/>
      </c>
      <c r="S66" t="str">
        <f>PROPER(TEXT(LO[[#This Row],[DT Venc]],"MMM"))</f>
        <v>May</v>
      </c>
      <c r="T66">
        <f>YEAR(LO[[#This Row],[DT Venc]])</f>
        <v>2026</v>
      </c>
      <c r="U66" t="str">
        <f>IFERROR(VLOOKUP(LO[[#This Row],[CATEGORIA]],TabCategoria[],2,FALSE),"")</f>
        <v/>
      </c>
      <c r="V66" t="str">
        <f>IF(LO[[#This Row],[CONTA/CARTAO]]="Cartão","Cartão",IF(LO[[#This Row],[CATEGORIA]]="Pagamento de Cartão","Fatura",""))</f>
        <v/>
      </c>
      <c r="W66">
        <f>IF(LO[[#This Row],[Tipo]]="Receita",LO[[#This Row],[Valor]],IF(LO[[#This Row],[Tipo]]="Despesa",-LO[[#This Row],[Valor]],0))</f>
        <v>-391</v>
      </c>
    </row>
    <row r="67" spans="2:23" hidden="1" x14ac:dyDescent="0.3">
      <c r="B67" s="11">
        <v>46125</v>
      </c>
      <c r="C67" s="11">
        <v>46152</v>
      </c>
      <c r="D67" t="s">
        <v>296</v>
      </c>
      <c r="E67" s="28">
        <v>3000</v>
      </c>
      <c r="F67" t="s">
        <v>284</v>
      </c>
      <c r="G67" t="s">
        <v>282</v>
      </c>
      <c r="H67" t="s">
        <v>313</v>
      </c>
      <c r="I67" t="s">
        <v>352</v>
      </c>
      <c r="J67" t="str">
        <f>IFERROR(VLOOKUP(LO[[#This Row],[Descrição]],TabCategoria[],2,FALSE),"")</f>
        <v>NÃO OPERACIONAL</v>
      </c>
      <c r="K67" t="str">
        <f>IFERROR(VLOOKUP(LO[[#This Row],[Descrição]],TabCategoria[],3,FALSE),"")</f>
        <v>DESPESA</v>
      </c>
      <c r="L67" t="str">
        <f>IFERROR(VLOOKUP(LO[[#This Row],[Descrição]],TabCategoria[],4,FALSE),"")</f>
        <v>Lazer</v>
      </c>
      <c r="M67" t="str">
        <f>IFERROR(VLOOKUP(LO[[#This Row],[Descrição]],TabCategoria[],5,FALSE),"")</f>
        <v>SHEIN</v>
      </c>
      <c r="N67">
        <f>SUMIFS(TabCategoria[Meta Mês],TabCategoria[Categoria],LO[[#This Row],[CATEGORIA]])</f>
        <v>0</v>
      </c>
      <c r="O67" s="68">
        <f>SUMIFS(LO[Valor],LO[CATEGORIA],LO[[#This Row],[CATEGORIA]],LO[ANO],LO[[#This Row],[ANO]],LO[MÊS],LO[[#This Row],[MÊS]])
/COUNTIFS(LO[CATEGORIA],LO[[#This Row],[CATEGORIA]],LO[ANO],LO[[#This Row],[ANO]],LO[MÊS],LO[[#This Row],[MÊS]])</f>
        <v>347.91499999999996</v>
      </c>
      <c r="P6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7" t="str">
        <f>IFERROR(INDEX(TabInst[TIPO],MATCH(LO[[#This Row],[INSTITUIÇÃO]],TabInst[DESCRIÇÃO],0)),"")</f>
        <v/>
      </c>
      <c r="R67" t="str">
        <f>IFERROR(INDEX(TabInst[INSTITUIÇÃO],MATCH(LO[[#This Row],[INSTITUIÇÃO]],TabInst[DESCRIÇÃO],0)),"")</f>
        <v/>
      </c>
      <c r="S67" t="str">
        <f>PROPER(TEXT(LO[[#This Row],[DT Venc]],"MMM"))</f>
        <v>May</v>
      </c>
      <c r="T67">
        <f>YEAR(LO[[#This Row],[DT Venc]])</f>
        <v>2026</v>
      </c>
      <c r="U67" t="str">
        <f>IFERROR(VLOOKUP(LO[[#This Row],[CATEGORIA]],TabCategoria[],2,FALSE),"")</f>
        <v/>
      </c>
      <c r="V67" t="str">
        <f>IF(LO[[#This Row],[CONTA/CARTAO]]="Cartão","Cartão",IF(LO[[#This Row],[CATEGORIA]]="Pagamento de Cartão","Fatura",""))</f>
        <v/>
      </c>
      <c r="W67">
        <f>IF(LO[[#This Row],[Tipo]]="Receita",LO[[#This Row],[Valor]],IF(LO[[#This Row],[Tipo]]="Despesa",-LO[[#This Row],[Valor]],0))</f>
        <v>-3000</v>
      </c>
    </row>
    <row r="68" spans="2:23" x14ac:dyDescent="0.3">
      <c r="B68" s="11">
        <v>46143</v>
      </c>
      <c r="C68" s="11">
        <v>46174</v>
      </c>
      <c r="D68" t="s">
        <v>326</v>
      </c>
      <c r="E68" s="28">
        <v>188.68</v>
      </c>
      <c r="F68" t="s">
        <v>284</v>
      </c>
      <c r="G68" t="s">
        <v>282</v>
      </c>
      <c r="H68" t="s">
        <v>355</v>
      </c>
      <c r="I68" t="s">
        <v>325</v>
      </c>
      <c r="J68" t="str">
        <f>IFERROR(VLOOKUP(LO[[#This Row],[Descrição]],TabCategoria[],2,FALSE),"")</f>
        <v>NÃO OPERACIONAL</v>
      </c>
      <c r="K68" t="str">
        <f>IFERROR(VLOOKUP(LO[[#This Row],[Descrição]],TabCategoria[],3,FALSE),"")</f>
        <v>DESPESA</v>
      </c>
      <c r="L68" t="str">
        <f>IFERROR(VLOOKUP(LO[[#This Row],[Descrição]],TabCategoria[],4,FALSE),"")</f>
        <v>Empréstimo</v>
      </c>
      <c r="M68" t="str">
        <f>IFERROR(VLOOKUP(LO[[#This Row],[Descrição]],TabCategoria[],5,FALSE),"")</f>
        <v>Empréstimo Pessoal - Banco</v>
      </c>
      <c r="N68">
        <f>SUMIFS(TabCategoria[Meta Mês],TabCategoria[Categoria],LO[[#This Row],[CATEGORIA]])</f>
        <v>0</v>
      </c>
      <c r="O68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6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8" t="str">
        <f>IFERROR(INDEX(TabInst[TIPO],MATCH(LO[[#This Row],[INSTITUIÇÃO]],TabInst[DESCRIÇÃO],0)),"")</f>
        <v/>
      </c>
      <c r="R68" t="str">
        <f>IFERROR(INDEX(TabInst[INSTITUIÇÃO],MATCH(LO[[#This Row],[INSTITUIÇÃO]],TabInst[DESCRIÇÃO],0)),"")</f>
        <v/>
      </c>
      <c r="S68" t="str">
        <f>PROPER(TEXT(LO[[#This Row],[DT Venc]],"MMM"))</f>
        <v>Jun</v>
      </c>
      <c r="T68">
        <f>YEAR(LO[[#This Row],[DT Venc]])</f>
        <v>2026</v>
      </c>
      <c r="U68" t="str">
        <f>IFERROR(VLOOKUP(LO[[#This Row],[CATEGORIA]],TabCategoria[],2,FALSE),"")</f>
        <v/>
      </c>
      <c r="V68" t="str">
        <f>IF(LO[[#This Row],[CONTA/CARTAO]]="Cartão","Cartão",IF(LO[[#This Row],[CATEGORIA]]="Pagamento de Cartão","Fatura",""))</f>
        <v/>
      </c>
      <c r="W68">
        <f>IF(LO[[#This Row],[Tipo]]="Receita",LO[[#This Row],[Valor]],IF(LO[[#This Row],[Tipo]]="Despesa",-LO[[#This Row],[Valor]],0))</f>
        <v>-188.68</v>
      </c>
    </row>
    <row r="69" spans="2:23" x14ac:dyDescent="0.3">
      <c r="B69" s="11">
        <v>46143</v>
      </c>
      <c r="C69" s="11">
        <v>46174</v>
      </c>
      <c r="D69" t="s">
        <v>318</v>
      </c>
      <c r="E69" s="28">
        <v>250</v>
      </c>
      <c r="F69" t="s">
        <v>284</v>
      </c>
      <c r="G69" t="s">
        <v>280</v>
      </c>
      <c r="H69" t="s">
        <v>355</v>
      </c>
      <c r="J69" t="str">
        <f>IFERROR(VLOOKUP(LO[[#This Row],[Descrição]],TabCategoria[],2,FALSE),"")</f>
        <v>OPERACIONAL</v>
      </c>
      <c r="K69" t="str">
        <f>IFERROR(VLOOKUP(LO[[#This Row],[Descrição]],TabCategoria[],3,FALSE),"")</f>
        <v>DESPESA</v>
      </c>
      <c r="L69" t="str">
        <f>IFERROR(VLOOKUP(LO[[#This Row],[Descrição]],TabCategoria[],4,FALSE),"")</f>
        <v>Moradia</v>
      </c>
      <c r="M69" t="str">
        <f>IFERROR(VLOOKUP(LO[[#This Row],[Descrição]],TabCategoria[],5,FALSE),"")</f>
        <v>Água</v>
      </c>
      <c r="N69">
        <f>SUMIFS(TabCategoria[Meta Mês],TabCategoria[Categoria],LO[[#This Row],[CATEGORIA]])</f>
        <v>0</v>
      </c>
      <c r="O69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6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69" t="str">
        <f>IFERROR(INDEX(TabInst[TIPO],MATCH(LO[[#This Row],[INSTITUIÇÃO]],TabInst[DESCRIÇÃO],0)),"")</f>
        <v/>
      </c>
      <c r="R69" t="str">
        <f>IFERROR(INDEX(TabInst[INSTITUIÇÃO],MATCH(LO[[#This Row],[INSTITUIÇÃO]],TabInst[DESCRIÇÃO],0)),"")</f>
        <v/>
      </c>
      <c r="S69" t="str">
        <f>PROPER(TEXT(LO[[#This Row],[DT Venc]],"MMM"))</f>
        <v>Jun</v>
      </c>
      <c r="T69">
        <f>YEAR(LO[[#This Row],[DT Venc]])</f>
        <v>2026</v>
      </c>
      <c r="U69" t="str">
        <f>IFERROR(VLOOKUP(LO[[#This Row],[CATEGORIA]],TabCategoria[],2,FALSE),"")</f>
        <v/>
      </c>
      <c r="V69" t="str">
        <f>IF(LO[[#This Row],[CONTA/CARTAO]]="Cartão","Cartão",IF(LO[[#This Row],[CATEGORIA]]="Pagamento de Cartão","Fatura",""))</f>
        <v/>
      </c>
      <c r="W69">
        <f>IF(LO[[#This Row],[Tipo]]="Receita",LO[[#This Row],[Valor]],IF(LO[[#This Row],[Tipo]]="Despesa",-LO[[#This Row],[Valor]],0))</f>
        <v>-250</v>
      </c>
    </row>
    <row r="70" spans="2:23" x14ac:dyDescent="0.3">
      <c r="B70" s="11">
        <v>46143</v>
      </c>
      <c r="C70" s="11">
        <v>46174</v>
      </c>
      <c r="D70" t="s">
        <v>319</v>
      </c>
      <c r="E70" s="72">
        <v>150</v>
      </c>
      <c r="F70" t="s">
        <v>284</v>
      </c>
      <c r="G70" t="s">
        <v>280</v>
      </c>
      <c r="H70" t="s">
        <v>355</v>
      </c>
      <c r="J70" t="str">
        <f>IFERROR(VLOOKUP(LO[[#This Row],[Descrição]],TabCategoria[],2,FALSE),"")</f>
        <v>OPERACIONAL</v>
      </c>
      <c r="K70" t="str">
        <f>IFERROR(VLOOKUP(LO[[#This Row],[Descrição]],TabCategoria[],3,FALSE),"")</f>
        <v>DESPESA</v>
      </c>
      <c r="L70" t="str">
        <f>IFERROR(VLOOKUP(LO[[#This Row],[Descrição]],TabCategoria[],4,FALSE),"")</f>
        <v>Transporte</v>
      </c>
      <c r="M70" t="str">
        <f>IFERROR(VLOOKUP(LO[[#This Row],[Descrição]],TabCategoria[],5,FALSE),"")</f>
        <v>Combustível</v>
      </c>
      <c r="N70">
        <f>SUMIFS(TabCategoria[Meta Mês],TabCategoria[Categoria],LO[[#This Row],[CATEGORIA]])</f>
        <v>0</v>
      </c>
      <c r="O70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7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0" t="str">
        <f>IFERROR(INDEX(TabInst[TIPO],MATCH(LO[[#This Row],[INSTITUIÇÃO]],TabInst[DESCRIÇÃO],0)),"")</f>
        <v/>
      </c>
      <c r="R70" t="str">
        <f>IFERROR(INDEX(TabInst[INSTITUIÇÃO],MATCH(LO[[#This Row],[INSTITUIÇÃO]],TabInst[DESCRIÇÃO],0)),"")</f>
        <v/>
      </c>
      <c r="S70" t="str">
        <f>PROPER(TEXT(LO[[#This Row],[DT Venc]],"MMM"))</f>
        <v>Jun</v>
      </c>
      <c r="T70">
        <f>YEAR(LO[[#This Row],[DT Venc]])</f>
        <v>2026</v>
      </c>
      <c r="U70" t="str">
        <f>IFERROR(VLOOKUP(LO[[#This Row],[CATEGORIA]],TabCategoria[],2,FALSE),"")</f>
        <v/>
      </c>
      <c r="V70" t="str">
        <f>IF(LO[[#This Row],[CONTA/CARTAO]]="Cartão","Cartão",IF(LO[[#This Row],[CATEGORIA]]="Pagamento de Cartão","Fatura",""))</f>
        <v/>
      </c>
      <c r="W70">
        <f>IF(LO[[#This Row],[Tipo]]="Receita",LO[[#This Row],[Valor]],IF(LO[[#This Row],[Tipo]]="Despesa",-LO[[#This Row],[Valor]],0))</f>
        <v>-150</v>
      </c>
    </row>
    <row r="71" spans="2:23" x14ac:dyDescent="0.3">
      <c r="B71" s="11">
        <v>46143</v>
      </c>
      <c r="C71" s="11">
        <v>46174</v>
      </c>
      <c r="D71" t="s">
        <v>286</v>
      </c>
      <c r="E71" s="72">
        <v>45</v>
      </c>
      <c r="F71" t="s">
        <v>284</v>
      </c>
      <c r="G71" t="s">
        <v>281</v>
      </c>
      <c r="H71" t="s">
        <v>355</v>
      </c>
      <c r="J71" t="str">
        <f>IFERROR(VLOOKUP(LO[[#This Row],[Descrição]],TabCategoria[],2,FALSE),"")</f>
        <v>OPERACIONAL</v>
      </c>
      <c r="K71" t="str">
        <f>IFERROR(VLOOKUP(LO[[#This Row],[Descrição]],TabCategoria[],3,FALSE),"")</f>
        <v>DESPESA</v>
      </c>
      <c r="L71" t="str">
        <f>IFERROR(VLOOKUP(LO[[#This Row],[Descrição]],TabCategoria[],4,FALSE),"")</f>
        <v>Comunicação</v>
      </c>
      <c r="M71" t="str">
        <f>IFERROR(VLOOKUP(LO[[#This Row],[Descrição]],TabCategoria[],5,FALSE),"")</f>
        <v>Internet</v>
      </c>
      <c r="N71">
        <f>SUMIFS(TabCategoria[Meta Mês],TabCategoria[Categoria],LO[[#This Row],[CATEGORIA]])</f>
        <v>0</v>
      </c>
      <c r="O71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7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1" t="str">
        <f>IFERROR(INDEX(TabInst[TIPO],MATCH(LO[[#This Row],[INSTITUIÇÃO]],TabInst[DESCRIÇÃO],0)),"")</f>
        <v/>
      </c>
      <c r="R71" t="str">
        <f>IFERROR(INDEX(TabInst[INSTITUIÇÃO],MATCH(LO[[#This Row],[INSTITUIÇÃO]],TabInst[DESCRIÇÃO],0)),"")</f>
        <v/>
      </c>
      <c r="S71" t="str">
        <f>PROPER(TEXT(LO[[#This Row],[DT Venc]],"MMM"))</f>
        <v>Jun</v>
      </c>
      <c r="T71">
        <f>YEAR(LO[[#This Row],[DT Venc]])</f>
        <v>2026</v>
      </c>
      <c r="U71" t="str">
        <f>IFERROR(VLOOKUP(LO[[#This Row],[CATEGORIA]],TabCategoria[],2,FALSE),"")</f>
        <v/>
      </c>
      <c r="V71" t="str">
        <f>IF(LO[[#This Row],[CONTA/CARTAO]]="Cartão","Cartão",IF(LO[[#This Row],[CATEGORIA]]="Pagamento de Cartão","Fatura",""))</f>
        <v/>
      </c>
      <c r="W71">
        <f>IF(LO[[#This Row],[Tipo]]="Receita",LO[[#This Row],[Valor]],IF(LO[[#This Row],[Tipo]]="Despesa",-LO[[#This Row],[Valor]],0))</f>
        <v>-45</v>
      </c>
    </row>
    <row r="72" spans="2:23" x14ac:dyDescent="0.3">
      <c r="B72" s="11">
        <v>46143</v>
      </c>
      <c r="C72" s="11">
        <v>46174</v>
      </c>
      <c r="D72" t="s">
        <v>287</v>
      </c>
      <c r="E72" s="72">
        <v>137</v>
      </c>
      <c r="F72" t="s">
        <v>284</v>
      </c>
      <c r="G72" t="s">
        <v>281</v>
      </c>
      <c r="H72" t="s">
        <v>355</v>
      </c>
      <c r="J72" t="str">
        <f>IFERROR(VLOOKUP(LO[[#This Row],[Descrição]],TabCategoria[],2,FALSE),"")</f>
        <v>NÃO OPERACIONAL</v>
      </c>
      <c r="K72" t="str">
        <f>IFERROR(VLOOKUP(LO[[#This Row],[Descrição]],TabCategoria[],3,FALSE),"")</f>
        <v>DESPESA</v>
      </c>
      <c r="L72" t="str">
        <f>IFERROR(VLOOKUP(LO[[#This Row],[Descrição]],TabCategoria[],4,FALSE),"")</f>
        <v>Pessoais</v>
      </c>
      <c r="M72" t="str">
        <f>IFERROR(VLOOKUP(LO[[#This Row],[Descrição]],TabCategoria[],5,FALSE),"")</f>
        <v>INTERNET CELULAR</v>
      </c>
      <c r="N72">
        <f>SUMIFS(TabCategoria[Meta Mês],TabCategoria[Categoria],LO[[#This Row],[CATEGORIA]])</f>
        <v>0</v>
      </c>
      <c r="O72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7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2" t="str">
        <f>IFERROR(INDEX(TabInst[TIPO],MATCH(LO[[#This Row],[INSTITUIÇÃO]],TabInst[DESCRIÇÃO],0)),"")</f>
        <v/>
      </c>
      <c r="R72" t="str">
        <f>IFERROR(INDEX(TabInst[INSTITUIÇÃO],MATCH(LO[[#This Row],[INSTITUIÇÃO]],TabInst[DESCRIÇÃO],0)),"")</f>
        <v/>
      </c>
      <c r="S72" t="str">
        <f>PROPER(TEXT(LO[[#This Row],[DT Venc]],"MMM"))</f>
        <v>Jun</v>
      </c>
      <c r="T72">
        <f>YEAR(LO[[#This Row],[DT Venc]])</f>
        <v>2026</v>
      </c>
      <c r="U72" t="str">
        <f>IFERROR(VLOOKUP(LO[[#This Row],[CATEGORIA]],TabCategoria[],2,FALSE),"")</f>
        <v/>
      </c>
      <c r="V72" t="str">
        <f>IF(LO[[#This Row],[CONTA/CARTAO]]="Cartão","Cartão",IF(LO[[#This Row],[CATEGORIA]]="Pagamento de Cartão","Fatura",""))</f>
        <v/>
      </c>
      <c r="W72">
        <f>IF(LO[[#This Row],[Tipo]]="Receita",LO[[#This Row],[Valor]],IF(LO[[#This Row],[Tipo]]="Despesa",-LO[[#This Row],[Valor]],0))</f>
        <v>-137</v>
      </c>
    </row>
    <row r="73" spans="2:23" x14ac:dyDescent="0.3">
      <c r="B73" s="11">
        <v>46143</v>
      </c>
      <c r="C73" s="11">
        <v>46174</v>
      </c>
      <c r="D73" t="s">
        <v>288</v>
      </c>
      <c r="E73" s="72">
        <v>21</v>
      </c>
      <c r="F73" t="s">
        <v>284</v>
      </c>
      <c r="G73" t="s">
        <v>281</v>
      </c>
      <c r="H73" t="s">
        <v>355</v>
      </c>
      <c r="J73" t="str">
        <f>IFERROR(VLOOKUP(LO[[#This Row],[Descrição]],TabCategoria[],2,FALSE),"")</f>
        <v>OPERACIONAL</v>
      </c>
      <c r="K73" t="str">
        <f>IFERROR(VLOOKUP(LO[[#This Row],[Descrição]],TabCategoria[],3,FALSE),"")</f>
        <v>DESPESA</v>
      </c>
      <c r="L73" t="str">
        <f>IFERROR(VLOOKUP(LO[[#This Row],[Descrição]],TabCategoria[],4,FALSE),"")</f>
        <v>Comunicação</v>
      </c>
      <c r="M73" t="str">
        <f>IFERROR(VLOOKUP(LO[[#This Row],[Descrição]],TabCategoria[],5,FALSE),"")</f>
        <v>Apps (Netflix, Spotify, Skype, etc)</v>
      </c>
      <c r="N73">
        <f>SUMIFS(TabCategoria[Meta Mês],TabCategoria[Categoria],LO[[#This Row],[CATEGORIA]])</f>
        <v>0</v>
      </c>
      <c r="O73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7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3" t="str">
        <f>IFERROR(INDEX(TabInst[TIPO],MATCH(LO[[#This Row],[INSTITUIÇÃO]],TabInst[DESCRIÇÃO],0)),"")</f>
        <v/>
      </c>
      <c r="R73" t="str">
        <f>IFERROR(INDEX(TabInst[INSTITUIÇÃO],MATCH(LO[[#This Row],[INSTITUIÇÃO]],TabInst[DESCRIÇÃO],0)),"")</f>
        <v/>
      </c>
      <c r="S73" t="str">
        <f>PROPER(TEXT(LO[[#This Row],[DT Venc]],"MMM"))</f>
        <v>Jun</v>
      </c>
      <c r="T73">
        <f>YEAR(LO[[#This Row],[DT Venc]])</f>
        <v>2026</v>
      </c>
      <c r="U73" t="str">
        <f>IFERROR(VLOOKUP(LO[[#This Row],[CATEGORIA]],TabCategoria[],2,FALSE),"")</f>
        <v/>
      </c>
      <c r="V73" t="str">
        <f>IF(LO[[#This Row],[CONTA/CARTAO]]="Cartão","Cartão",IF(LO[[#This Row],[CATEGORIA]]="Pagamento de Cartão","Fatura",""))</f>
        <v/>
      </c>
      <c r="W73">
        <f>IF(LO[[#This Row],[Tipo]]="Receita",LO[[#This Row],[Valor]],IF(LO[[#This Row],[Tipo]]="Despesa",-LO[[#This Row],[Valor]],0))</f>
        <v>-21</v>
      </c>
    </row>
    <row r="74" spans="2:23" x14ac:dyDescent="0.3">
      <c r="B74" s="11">
        <v>46143</v>
      </c>
      <c r="C74" s="11">
        <v>46174</v>
      </c>
      <c r="D74" t="s">
        <v>288</v>
      </c>
      <c r="E74" s="72">
        <v>24.9</v>
      </c>
      <c r="F74" t="s">
        <v>284</v>
      </c>
      <c r="G74" t="s">
        <v>281</v>
      </c>
      <c r="H74" t="s">
        <v>355</v>
      </c>
      <c r="J74" t="str">
        <f>IFERROR(VLOOKUP(LO[[#This Row],[Descrição]],TabCategoria[],2,FALSE),"")</f>
        <v>OPERACIONAL</v>
      </c>
      <c r="K74" t="str">
        <f>IFERROR(VLOOKUP(LO[[#This Row],[Descrição]],TabCategoria[],3,FALSE),"")</f>
        <v>DESPESA</v>
      </c>
      <c r="L74" t="str">
        <f>IFERROR(VLOOKUP(LO[[#This Row],[Descrição]],TabCategoria[],4,FALSE),"")</f>
        <v>Comunicação</v>
      </c>
      <c r="M74" t="str">
        <f>IFERROR(VLOOKUP(LO[[#This Row],[Descrição]],TabCategoria[],5,FALSE),"")</f>
        <v>Apps (Netflix, Spotify, Skype, etc)</v>
      </c>
      <c r="N74">
        <f>SUMIFS(TabCategoria[Meta Mês],TabCategoria[Categoria],LO[[#This Row],[CATEGORIA]])</f>
        <v>0</v>
      </c>
      <c r="O74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7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4" t="str">
        <f>IFERROR(INDEX(TabInst[TIPO],MATCH(LO[[#This Row],[INSTITUIÇÃO]],TabInst[DESCRIÇÃO],0)),"")</f>
        <v/>
      </c>
      <c r="R74" t="str">
        <f>IFERROR(INDEX(TabInst[INSTITUIÇÃO],MATCH(LO[[#This Row],[INSTITUIÇÃO]],TabInst[DESCRIÇÃO],0)),"")</f>
        <v/>
      </c>
      <c r="S74" t="str">
        <f>PROPER(TEXT(LO[[#This Row],[DT Venc]],"MMM"))</f>
        <v>Jun</v>
      </c>
      <c r="T74">
        <f>YEAR(LO[[#This Row],[DT Venc]])</f>
        <v>2026</v>
      </c>
      <c r="U74" t="str">
        <f>IFERROR(VLOOKUP(LO[[#This Row],[CATEGORIA]],TabCategoria[],2,FALSE),"")</f>
        <v/>
      </c>
      <c r="V74" t="str">
        <f>IF(LO[[#This Row],[CONTA/CARTAO]]="Cartão","Cartão",IF(LO[[#This Row],[CATEGORIA]]="Pagamento de Cartão","Fatura",""))</f>
        <v/>
      </c>
      <c r="W74">
        <f>IF(LO[[#This Row],[Tipo]]="Receita",LO[[#This Row],[Valor]],IF(LO[[#This Row],[Tipo]]="Despesa",-LO[[#This Row],[Valor]],0))</f>
        <v>-24.9</v>
      </c>
    </row>
    <row r="75" spans="2:23" x14ac:dyDescent="0.3">
      <c r="B75" s="11">
        <v>46143</v>
      </c>
      <c r="C75" s="11">
        <v>46174</v>
      </c>
      <c r="D75" t="s">
        <v>288</v>
      </c>
      <c r="E75" s="72">
        <v>35</v>
      </c>
      <c r="F75" t="s">
        <v>284</v>
      </c>
      <c r="G75" t="s">
        <v>281</v>
      </c>
      <c r="H75" t="s">
        <v>355</v>
      </c>
      <c r="J75" t="str">
        <f>IFERROR(VLOOKUP(LO[[#This Row],[Descrição]],TabCategoria[],2,FALSE),"")</f>
        <v>OPERACIONAL</v>
      </c>
      <c r="K75" t="str">
        <f>IFERROR(VLOOKUP(LO[[#This Row],[Descrição]],TabCategoria[],3,FALSE),"")</f>
        <v>DESPESA</v>
      </c>
      <c r="L75" t="str">
        <f>IFERROR(VLOOKUP(LO[[#This Row],[Descrição]],TabCategoria[],4,FALSE),"")</f>
        <v>Comunicação</v>
      </c>
      <c r="M75" t="str">
        <f>IFERROR(VLOOKUP(LO[[#This Row],[Descrição]],TabCategoria[],5,FALSE),"")</f>
        <v>Apps (Netflix, Spotify, Skype, etc)</v>
      </c>
      <c r="N75">
        <f>SUMIFS(TabCategoria[Meta Mês],TabCategoria[Categoria],LO[[#This Row],[CATEGORIA]])</f>
        <v>0</v>
      </c>
      <c r="O75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7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5" t="str">
        <f>IFERROR(INDEX(TabInst[TIPO],MATCH(LO[[#This Row],[INSTITUIÇÃO]],TabInst[DESCRIÇÃO],0)),"")</f>
        <v/>
      </c>
      <c r="R75" t="str">
        <f>IFERROR(INDEX(TabInst[INSTITUIÇÃO],MATCH(LO[[#This Row],[INSTITUIÇÃO]],TabInst[DESCRIÇÃO],0)),"")</f>
        <v/>
      </c>
      <c r="S75" t="str">
        <f>PROPER(TEXT(LO[[#This Row],[DT Venc]],"MMM"))</f>
        <v>Jun</v>
      </c>
      <c r="T75">
        <f>YEAR(LO[[#This Row],[DT Venc]])</f>
        <v>2026</v>
      </c>
      <c r="U75" t="str">
        <f>IFERROR(VLOOKUP(LO[[#This Row],[CATEGORIA]],TabCategoria[],2,FALSE),"")</f>
        <v/>
      </c>
      <c r="V75" t="str">
        <f>IF(LO[[#This Row],[CONTA/CARTAO]]="Cartão","Cartão",IF(LO[[#This Row],[CATEGORIA]]="Pagamento de Cartão","Fatura",""))</f>
        <v/>
      </c>
      <c r="W75">
        <f>IF(LO[[#This Row],[Tipo]]="Receita",LO[[#This Row],[Valor]],IF(LO[[#This Row],[Tipo]]="Despesa",-LO[[#This Row],[Valor]],0))</f>
        <v>-35</v>
      </c>
    </row>
    <row r="76" spans="2:23" x14ac:dyDescent="0.3">
      <c r="B76" s="11">
        <v>46143</v>
      </c>
      <c r="C76" s="11">
        <v>46174</v>
      </c>
      <c r="D76" t="s">
        <v>289</v>
      </c>
      <c r="E76" s="72">
        <v>217</v>
      </c>
      <c r="F76" t="s">
        <v>284</v>
      </c>
      <c r="G76" t="s">
        <v>280</v>
      </c>
      <c r="H76" t="s">
        <v>355</v>
      </c>
      <c r="J76" t="str">
        <f>IFERROR(VLOOKUP(LO[[#This Row],[Descrição]],TabCategoria[],2,FALSE),"")</f>
        <v>NÃO OPERACIONAL</v>
      </c>
      <c r="K76" t="str">
        <f>IFERROR(VLOOKUP(LO[[#This Row],[Descrição]],TabCategoria[],3,FALSE),"")</f>
        <v>DESPESA</v>
      </c>
      <c r="L76" t="str">
        <f>IFERROR(VLOOKUP(LO[[#This Row],[Descrição]],TabCategoria[],4,FALSE),"")</f>
        <v>Lazer</v>
      </c>
      <c r="M76" t="str">
        <f>IFERROR(VLOOKUP(LO[[#This Row],[Descrição]],TabCategoria[],5,FALSE),"")</f>
        <v>CELULAR</v>
      </c>
      <c r="N76">
        <f>SUMIFS(TabCategoria[Meta Mês],TabCategoria[Categoria],LO[[#This Row],[CATEGORIA]])</f>
        <v>0</v>
      </c>
      <c r="O76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7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6" t="str">
        <f>IFERROR(INDEX(TabInst[TIPO],MATCH(LO[[#This Row],[INSTITUIÇÃO]],TabInst[DESCRIÇÃO],0)),"")</f>
        <v/>
      </c>
      <c r="R76" t="str">
        <f>IFERROR(INDEX(TabInst[INSTITUIÇÃO],MATCH(LO[[#This Row],[INSTITUIÇÃO]],TabInst[DESCRIÇÃO],0)),"")</f>
        <v/>
      </c>
      <c r="S76" t="str">
        <f>PROPER(TEXT(LO[[#This Row],[DT Venc]],"MMM"))</f>
        <v>Jun</v>
      </c>
      <c r="T76">
        <f>YEAR(LO[[#This Row],[DT Venc]])</f>
        <v>2026</v>
      </c>
      <c r="U76" t="str">
        <f>IFERROR(VLOOKUP(LO[[#This Row],[CATEGORIA]],TabCategoria[],2,FALSE),"")</f>
        <v/>
      </c>
      <c r="V76" t="str">
        <f>IF(LO[[#This Row],[CONTA/CARTAO]]="Cartão","Cartão",IF(LO[[#This Row],[CATEGORIA]]="Pagamento de Cartão","Fatura",""))</f>
        <v/>
      </c>
      <c r="W76">
        <f>IF(LO[[#This Row],[Tipo]]="Receita",LO[[#This Row],[Valor]],IF(LO[[#This Row],[Tipo]]="Despesa",-LO[[#This Row],[Valor]],0))</f>
        <v>-217</v>
      </c>
    </row>
    <row r="77" spans="2:23" x14ac:dyDescent="0.3">
      <c r="B77" s="11">
        <v>46143</v>
      </c>
      <c r="C77" s="11">
        <v>46174</v>
      </c>
      <c r="D77" t="s">
        <v>290</v>
      </c>
      <c r="E77" s="72">
        <v>67.8</v>
      </c>
      <c r="F77" t="s">
        <v>284</v>
      </c>
      <c r="G77" t="s">
        <v>280</v>
      </c>
      <c r="H77" t="s">
        <v>355</v>
      </c>
      <c r="J77" t="str">
        <f>IFERROR(VLOOKUP(LO[[#This Row],[Descrição]],TabCategoria[],2,FALSE),"")</f>
        <v>NÃO OPERACIONAL</v>
      </c>
      <c r="K77" t="str">
        <f>IFERROR(VLOOKUP(LO[[#This Row],[Descrição]],TabCategoria[],3,FALSE),"")</f>
        <v>DESPESA</v>
      </c>
      <c r="L77" t="str">
        <f>IFERROR(VLOOKUP(LO[[#This Row],[Descrição]],TabCategoria[],4,FALSE),"")</f>
        <v>Lazer</v>
      </c>
      <c r="M77" t="str">
        <f>IFERROR(VLOOKUP(LO[[#This Row],[Descrição]],TabCategoria[],5,FALSE),"")</f>
        <v>FONTE, COOLER</v>
      </c>
      <c r="N77">
        <f>SUMIFS(TabCategoria[Meta Mês],TabCategoria[Categoria],LO[[#This Row],[CATEGORIA]])</f>
        <v>0</v>
      </c>
      <c r="O77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7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7" t="str">
        <f>IFERROR(INDEX(TabInst[TIPO],MATCH(LO[[#This Row],[INSTITUIÇÃO]],TabInst[DESCRIÇÃO],0)),"")</f>
        <v/>
      </c>
      <c r="R77" t="str">
        <f>IFERROR(INDEX(TabInst[INSTITUIÇÃO],MATCH(LO[[#This Row],[INSTITUIÇÃO]],TabInst[DESCRIÇÃO],0)),"")</f>
        <v/>
      </c>
      <c r="S77" t="str">
        <f>PROPER(TEXT(LO[[#This Row],[DT Venc]],"MMM"))</f>
        <v>Jun</v>
      </c>
      <c r="T77">
        <f>YEAR(LO[[#This Row],[DT Venc]])</f>
        <v>2026</v>
      </c>
      <c r="U77" t="str">
        <f>IFERROR(VLOOKUP(LO[[#This Row],[CATEGORIA]],TabCategoria[],2,FALSE),"")</f>
        <v/>
      </c>
      <c r="V77" t="str">
        <f>IF(LO[[#This Row],[CONTA/CARTAO]]="Cartão","Cartão",IF(LO[[#This Row],[CATEGORIA]]="Pagamento de Cartão","Fatura",""))</f>
        <v/>
      </c>
      <c r="W77">
        <f>IF(LO[[#This Row],[Tipo]]="Receita",LO[[#This Row],[Valor]],IF(LO[[#This Row],[Tipo]]="Despesa",-LO[[#This Row],[Valor]],0))</f>
        <v>-67.8</v>
      </c>
    </row>
    <row r="78" spans="2:23" x14ac:dyDescent="0.3">
      <c r="B78" s="11">
        <v>46143</v>
      </c>
      <c r="C78" s="11">
        <v>46174</v>
      </c>
      <c r="D78" t="s">
        <v>291</v>
      </c>
      <c r="E78" s="72">
        <v>50</v>
      </c>
      <c r="F78" t="s">
        <v>284</v>
      </c>
      <c r="G78" t="s">
        <v>280</v>
      </c>
      <c r="H78" t="s">
        <v>355</v>
      </c>
      <c r="J78" t="str">
        <f>IFERROR(VLOOKUP(LO[[#This Row],[Descrição]],TabCategoria[],2,FALSE),"")</f>
        <v>NÃO OPERACIONAL</v>
      </c>
      <c r="K78" t="str">
        <f>IFERROR(VLOOKUP(LO[[#This Row],[Descrição]],TabCategoria[],3,FALSE),"")</f>
        <v>DESPESA</v>
      </c>
      <c r="L78" t="str">
        <f>IFERROR(VLOOKUP(LO[[#This Row],[Descrição]],TabCategoria[],4,FALSE),"")</f>
        <v>Lazer</v>
      </c>
      <c r="M78" t="str">
        <f>IFERROR(VLOOKUP(LO[[#This Row],[Descrição]],TabCategoria[],5,FALSE),"")</f>
        <v>CADEIRA</v>
      </c>
      <c r="N78">
        <f>SUMIFS(TabCategoria[Meta Mês],TabCategoria[Categoria],LO[[#This Row],[CATEGORIA]])</f>
        <v>0</v>
      </c>
      <c r="O78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7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8" t="str">
        <f>IFERROR(INDEX(TabInst[TIPO],MATCH(LO[[#This Row],[INSTITUIÇÃO]],TabInst[DESCRIÇÃO],0)),"")</f>
        <v/>
      </c>
      <c r="R78" t="str">
        <f>IFERROR(INDEX(TabInst[INSTITUIÇÃO],MATCH(LO[[#This Row],[INSTITUIÇÃO]],TabInst[DESCRIÇÃO],0)),"")</f>
        <v/>
      </c>
      <c r="S78" t="str">
        <f>PROPER(TEXT(LO[[#This Row],[DT Venc]],"MMM"))</f>
        <v>Jun</v>
      </c>
      <c r="T78">
        <f>YEAR(LO[[#This Row],[DT Venc]])</f>
        <v>2026</v>
      </c>
      <c r="U78" t="str">
        <f>IFERROR(VLOOKUP(LO[[#This Row],[CATEGORIA]],TabCategoria[],2,FALSE),"")</f>
        <v/>
      </c>
      <c r="V78" t="str">
        <f>IF(LO[[#This Row],[CONTA/CARTAO]]="Cartão","Cartão",IF(LO[[#This Row],[CATEGORIA]]="Pagamento de Cartão","Fatura",""))</f>
        <v/>
      </c>
      <c r="W78">
        <f>IF(LO[[#This Row],[Tipo]]="Receita",LO[[#This Row],[Valor]],IF(LO[[#This Row],[Tipo]]="Despesa",-LO[[#This Row],[Valor]],0))</f>
        <v>-50</v>
      </c>
    </row>
    <row r="79" spans="2:23" x14ac:dyDescent="0.3">
      <c r="B79" s="11">
        <v>46143</v>
      </c>
      <c r="C79" s="11">
        <v>46174</v>
      </c>
      <c r="D79" t="s">
        <v>292</v>
      </c>
      <c r="E79" s="72">
        <v>150</v>
      </c>
      <c r="F79" t="s">
        <v>284</v>
      </c>
      <c r="G79" t="s">
        <v>280</v>
      </c>
      <c r="H79" t="s">
        <v>355</v>
      </c>
      <c r="J79" t="str">
        <f>IFERROR(VLOOKUP(LO[[#This Row],[Descrição]],TabCategoria[],2,FALSE),"")</f>
        <v>NÃO OPERACIONAL</v>
      </c>
      <c r="K79" t="str">
        <f>IFERROR(VLOOKUP(LO[[#This Row],[Descrição]],TabCategoria[],3,FALSE),"")</f>
        <v>DESPESA</v>
      </c>
      <c r="L79" t="str">
        <f>IFERROR(VLOOKUP(LO[[#This Row],[Descrição]],TabCategoria[],4,FALSE),"")</f>
        <v>Lazer</v>
      </c>
      <c r="M79" t="str">
        <f>IFERROR(VLOOKUP(LO[[#This Row],[Descrição]],TabCategoria[],5,FALSE),"")</f>
        <v>PLACA MAE</v>
      </c>
      <c r="N79">
        <f>SUMIFS(TabCategoria[Meta Mês],TabCategoria[Categoria],LO[[#This Row],[CATEGORIA]])</f>
        <v>0</v>
      </c>
      <c r="O79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7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79" t="str">
        <f>IFERROR(INDEX(TabInst[TIPO],MATCH(LO[[#This Row],[INSTITUIÇÃO]],TabInst[DESCRIÇÃO],0)),"")</f>
        <v/>
      </c>
      <c r="R79" t="str">
        <f>IFERROR(INDEX(TabInst[INSTITUIÇÃO],MATCH(LO[[#This Row],[INSTITUIÇÃO]],TabInst[DESCRIÇÃO],0)),"")</f>
        <v/>
      </c>
      <c r="S79" t="str">
        <f>PROPER(TEXT(LO[[#This Row],[DT Venc]],"MMM"))</f>
        <v>Jun</v>
      </c>
      <c r="T79">
        <f>YEAR(LO[[#This Row],[DT Venc]])</f>
        <v>2026</v>
      </c>
      <c r="U79" t="str">
        <f>IFERROR(VLOOKUP(LO[[#This Row],[CATEGORIA]],TabCategoria[],2,FALSE),"")</f>
        <v/>
      </c>
      <c r="V79" t="str">
        <f>IF(LO[[#This Row],[CONTA/CARTAO]]="Cartão","Cartão",IF(LO[[#This Row],[CATEGORIA]]="Pagamento de Cartão","Fatura",""))</f>
        <v/>
      </c>
      <c r="W79">
        <f>IF(LO[[#This Row],[Tipo]]="Receita",LO[[#This Row],[Valor]],IF(LO[[#This Row],[Tipo]]="Despesa",-LO[[#This Row],[Valor]],0))</f>
        <v>-150</v>
      </c>
    </row>
    <row r="80" spans="2:23" x14ac:dyDescent="0.3">
      <c r="B80" s="11">
        <v>46143</v>
      </c>
      <c r="C80" s="11">
        <v>46174</v>
      </c>
      <c r="D80" t="s">
        <v>293</v>
      </c>
      <c r="E80" s="72">
        <v>136</v>
      </c>
      <c r="F80" t="s">
        <v>284</v>
      </c>
      <c r="G80" t="s">
        <v>280</v>
      </c>
      <c r="H80" t="s">
        <v>355</v>
      </c>
      <c r="J80" t="str">
        <f>IFERROR(VLOOKUP(LO[[#This Row],[Descrição]],TabCategoria[],2,FALSE),"")</f>
        <v>NÃO OPERACIONAL</v>
      </c>
      <c r="K80" t="str">
        <f>IFERROR(VLOOKUP(LO[[#This Row],[Descrição]],TabCategoria[],3,FALSE),"")</f>
        <v>DESPESA</v>
      </c>
      <c r="L80" t="str">
        <f>IFERROR(VLOOKUP(LO[[#This Row],[Descrição]],TabCategoria[],4,FALSE),"")</f>
        <v>Lazer</v>
      </c>
      <c r="M80" t="str">
        <f>IFERROR(VLOOKUP(LO[[#This Row],[Descrição]],TabCategoria[],5,FALSE),"")</f>
        <v>PROCESSADOR</v>
      </c>
      <c r="N80">
        <f>SUMIFS(TabCategoria[Meta Mês],TabCategoria[Categoria],LO[[#This Row],[CATEGORIA]])</f>
        <v>0</v>
      </c>
      <c r="O80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8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0" t="str">
        <f>IFERROR(INDEX(TabInst[TIPO],MATCH(LO[[#This Row],[INSTITUIÇÃO]],TabInst[DESCRIÇÃO],0)),"")</f>
        <v/>
      </c>
      <c r="R80" t="str">
        <f>IFERROR(INDEX(TabInst[INSTITUIÇÃO],MATCH(LO[[#This Row],[INSTITUIÇÃO]],TabInst[DESCRIÇÃO],0)),"")</f>
        <v/>
      </c>
      <c r="S80" t="str">
        <f>PROPER(TEXT(LO[[#This Row],[DT Venc]],"MMM"))</f>
        <v>Jun</v>
      </c>
      <c r="T80">
        <f>YEAR(LO[[#This Row],[DT Venc]])</f>
        <v>2026</v>
      </c>
      <c r="U80" t="str">
        <f>IFERROR(VLOOKUP(LO[[#This Row],[CATEGORIA]],TabCategoria[],2,FALSE),"")</f>
        <v/>
      </c>
      <c r="V80" t="str">
        <f>IF(LO[[#This Row],[CONTA/CARTAO]]="Cartão","Cartão",IF(LO[[#This Row],[CATEGORIA]]="Pagamento de Cartão","Fatura",""))</f>
        <v/>
      </c>
      <c r="W80">
        <f>IF(LO[[#This Row],[Tipo]]="Receita",LO[[#This Row],[Valor]],IF(LO[[#This Row],[Tipo]]="Despesa",-LO[[#This Row],[Valor]],0))</f>
        <v>-136</v>
      </c>
    </row>
    <row r="81" spans="2:23" x14ac:dyDescent="0.3">
      <c r="B81" s="11">
        <v>46143</v>
      </c>
      <c r="C81" s="11">
        <v>46174</v>
      </c>
      <c r="D81" t="s">
        <v>294</v>
      </c>
      <c r="E81" s="72">
        <v>66.900000000000006</v>
      </c>
      <c r="F81" t="s">
        <v>284</v>
      </c>
      <c r="G81" t="s">
        <v>280</v>
      </c>
      <c r="H81" t="s">
        <v>355</v>
      </c>
      <c r="J81" t="str">
        <f>IFERROR(VLOOKUP(LO[[#This Row],[Descrição]],TabCategoria[],2,FALSE),"")</f>
        <v>NÃO OPERACIONAL</v>
      </c>
      <c r="K81" t="str">
        <f>IFERROR(VLOOKUP(LO[[#This Row],[Descrição]],TabCategoria[],3,FALSE),"")</f>
        <v>DESPESA</v>
      </c>
      <c r="L81" t="str">
        <f>IFERROR(VLOOKUP(LO[[#This Row],[Descrição]],TabCategoria[],4,FALSE),"")</f>
        <v>Lazer</v>
      </c>
      <c r="M81" t="str">
        <f>IFERROR(VLOOKUP(LO[[#This Row],[Descrição]],TabCategoria[],5,FALSE),"")</f>
        <v>APPLE</v>
      </c>
      <c r="N81">
        <f>SUMIFS(TabCategoria[Meta Mês],TabCategoria[Categoria],LO[[#This Row],[CATEGORIA]])</f>
        <v>0</v>
      </c>
      <c r="O81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8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1" t="str">
        <f>IFERROR(INDEX(TabInst[TIPO],MATCH(LO[[#This Row],[INSTITUIÇÃO]],TabInst[DESCRIÇÃO],0)),"")</f>
        <v/>
      </c>
      <c r="R81" t="str">
        <f>IFERROR(INDEX(TabInst[INSTITUIÇÃO],MATCH(LO[[#This Row],[INSTITUIÇÃO]],TabInst[DESCRIÇÃO],0)),"")</f>
        <v/>
      </c>
      <c r="S81" t="str">
        <f>PROPER(TEXT(LO[[#This Row],[DT Venc]],"MMM"))</f>
        <v>Jun</v>
      </c>
      <c r="T81">
        <f>YEAR(LO[[#This Row],[DT Venc]])</f>
        <v>2026</v>
      </c>
      <c r="U81" t="str">
        <f>IFERROR(VLOOKUP(LO[[#This Row],[CATEGORIA]],TabCategoria[],2,FALSE),"")</f>
        <v/>
      </c>
      <c r="V81" t="str">
        <f>IF(LO[[#This Row],[CONTA/CARTAO]]="Cartão","Cartão",IF(LO[[#This Row],[CATEGORIA]]="Pagamento de Cartão","Fatura",""))</f>
        <v/>
      </c>
      <c r="W81">
        <f>IF(LO[[#This Row],[Tipo]]="Receita",LO[[#This Row],[Valor]],IF(LO[[#This Row],[Tipo]]="Despesa",-LO[[#This Row],[Valor]],0))</f>
        <v>-66.900000000000006</v>
      </c>
    </row>
    <row r="82" spans="2:23" x14ac:dyDescent="0.3">
      <c r="B82" s="11">
        <v>46143</v>
      </c>
      <c r="C82" s="11">
        <v>46174</v>
      </c>
      <c r="D82" t="s">
        <v>292</v>
      </c>
      <c r="E82" s="13">
        <v>120</v>
      </c>
      <c r="F82" t="s">
        <v>284</v>
      </c>
      <c r="G82" t="s">
        <v>280</v>
      </c>
      <c r="H82" t="s">
        <v>355</v>
      </c>
      <c r="J82" t="str">
        <f>IFERROR(VLOOKUP(LO[[#This Row],[Descrição]],TabCategoria[],2,FALSE),"")</f>
        <v>NÃO OPERACIONAL</v>
      </c>
      <c r="K82" t="str">
        <f>IFERROR(VLOOKUP(LO[[#This Row],[Descrição]],TabCategoria[],3,FALSE),"")</f>
        <v>DESPESA</v>
      </c>
      <c r="L82" t="str">
        <f>IFERROR(VLOOKUP(LO[[#This Row],[Descrição]],TabCategoria[],4,FALSE),"")</f>
        <v>Lazer</v>
      </c>
      <c r="M82" t="str">
        <f>IFERROR(VLOOKUP(LO[[#This Row],[Descrição]],TabCategoria[],5,FALSE),"")</f>
        <v>PLACA MAE</v>
      </c>
      <c r="N82">
        <f>SUMIFS(TabCategoria[Meta Mês],TabCategoria[Categoria],LO[[#This Row],[CATEGORIA]])</f>
        <v>0</v>
      </c>
      <c r="O82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8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2" t="str">
        <f>IFERROR(INDEX(TabInst[TIPO],MATCH(LO[[#This Row],[INSTITUIÇÃO]],TabInst[DESCRIÇÃO],0)),"")</f>
        <v/>
      </c>
      <c r="R82" t="str">
        <f>IFERROR(INDEX(TabInst[INSTITUIÇÃO],MATCH(LO[[#This Row],[INSTITUIÇÃO]],TabInst[DESCRIÇÃO],0)),"")</f>
        <v/>
      </c>
      <c r="S82" t="str">
        <f>PROPER(TEXT(LO[[#This Row],[DT Venc]],"MMM"))</f>
        <v>Jun</v>
      </c>
      <c r="T82">
        <f>YEAR(LO[[#This Row],[DT Venc]])</f>
        <v>2026</v>
      </c>
      <c r="U82" t="str">
        <f>IFERROR(VLOOKUP(LO[[#This Row],[CATEGORIA]],TabCategoria[],2,FALSE),"")</f>
        <v/>
      </c>
      <c r="V82" t="str">
        <f>IF(LO[[#This Row],[CONTA/CARTAO]]="Cartão","Cartão",IF(LO[[#This Row],[CATEGORIA]]="Pagamento de Cartão","Fatura",""))</f>
        <v/>
      </c>
      <c r="W82">
        <f>IF(LO[[#This Row],[Tipo]]="Receita",LO[[#This Row],[Valor]],IF(LO[[#This Row],[Tipo]]="Despesa",-LO[[#This Row],[Valor]],0))</f>
        <v>-120</v>
      </c>
    </row>
    <row r="83" spans="2:23" x14ac:dyDescent="0.3">
      <c r="B83" s="11">
        <v>46143</v>
      </c>
      <c r="C83" s="11">
        <v>46174</v>
      </c>
      <c r="D83" t="s">
        <v>303</v>
      </c>
      <c r="E83" s="28">
        <v>100</v>
      </c>
      <c r="F83" t="s">
        <v>284</v>
      </c>
      <c r="G83" t="s">
        <v>330</v>
      </c>
      <c r="H83" t="s">
        <v>355</v>
      </c>
      <c r="I83" t="s">
        <v>338</v>
      </c>
      <c r="J83" t="str">
        <f>IFERROR(VLOOKUP(LO[[#This Row],[Descrição]],TabCategoria[],2,FALSE),"")</f>
        <v>OPERACIONAL</v>
      </c>
      <c r="K83" t="str">
        <f>IFERROR(VLOOKUP(LO[[#This Row],[Descrição]],TabCategoria[],3,FALSE),"")</f>
        <v>RECEITA</v>
      </c>
      <c r="L83" t="str">
        <f>IFERROR(VLOOKUP(LO[[#This Row],[Descrição]],TabCategoria[],4,FALSE),"")</f>
        <v>Renda Extra</v>
      </c>
      <c r="M83" t="str">
        <f>IFERROR(VLOOKUP(LO[[#This Row],[Descrição]],TabCategoria[],5,FALSE),"")</f>
        <v>Outras fontes de renda</v>
      </c>
      <c r="N83">
        <f>SUMIFS(TabCategoria[Meta Mês],TabCategoria[Categoria],LO[[#This Row],[CATEGORIA]])</f>
        <v>0</v>
      </c>
      <c r="O83" s="68">
        <f>SUMIFS(LO[Valor],LO[CATEGORIA],LO[[#This Row],[CATEGORIA]],LO[ANO],LO[[#This Row],[ANO]],LO[MÊS],LO[[#This Row],[MÊS]])
/COUNTIFS(LO[CATEGORIA],LO[[#This Row],[CATEGORIA]],LO[ANO],LO[[#This Row],[ANO]],LO[MÊS],LO[[#This Row],[MÊS]])</f>
        <v>100</v>
      </c>
      <c r="P8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3" t="str">
        <f>IFERROR(INDEX(TabInst[TIPO],MATCH(LO[[#This Row],[INSTITUIÇÃO]],TabInst[DESCRIÇÃO],0)),"")</f>
        <v/>
      </c>
      <c r="R83" t="str">
        <f>IFERROR(INDEX(TabInst[INSTITUIÇÃO],MATCH(LO[[#This Row],[INSTITUIÇÃO]],TabInst[DESCRIÇÃO],0)),"")</f>
        <v/>
      </c>
      <c r="S83" t="str">
        <f>PROPER(TEXT(LO[[#This Row],[DT Venc]],"MMM"))</f>
        <v>Jun</v>
      </c>
      <c r="T83">
        <f>YEAR(LO[[#This Row],[DT Venc]])</f>
        <v>2026</v>
      </c>
      <c r="U83" t="str">
        <f>IFERROR(VLOOKUP(LO[[#This Row],[CATEGORIA]],TabCategoria[],2,FALSE),"")</f>
        <v/>
      </c>
      <c r="V83" t="str">
        <f>IF(LO[[#This Row],[CONTA/CARTAO]]="Cartão","Cartão",IF(LO[[#This Row],[CATEGORIA]]="Pagamento de Cartão","Fatura",""))</f>
        <v/>
      </c>
      <c r="W83">
        <f>IF(LO[[#This Row],[Tipo]]="Receita",LO[[#This Row],[Valor]],IF(LO[[#This Row],[Tipo]]="Despesa",-LO[[#This Row],[Valor]],0))</f>
        <v>100</v>
      </c>
    </row>
    <row r="84" spans="2:23" x14ac:dyDescent="0.3">
      <c r="B84" s="11">
        <v>46143</v>
      </c>
      <c r="C84" s="11">
        <v>46174</v>
      </c>
      <c r="D84" t="s">
        <v>302</v>
      </c>
      <c r="E84" s="28">
        <v>2900</v>
      </c>
      <c r="F84" t="s">
        <v>284</v>
      </c>
      <c r="G84" t="s">
        <v>337</v>
      </c>
      <c r="H84" t="s">
        <v>355</v>
      </c>
      <c r="J84" t="str">
        <f>IFERROR(VLOOKUP(LO[[#This Row],[Descrição]],TabCategoria[],2,FALSE),"")</f>
        <v>OPERACIONAL</v>
      </c>
      <c r="K84" t="str">
        <f>IFERROR(VLOOKUP(LO[[#This Row],[Descrição]],TabCategoria[],3,FALSE),"")</f>
        <v>RECEITA</v>
      </c>
      <c r="L84" t="str">
        <f>IFERROR(VLOOKUP(LO[[#This Row],[Descrição]],TabCategoria[],4,FALSE),"")</f>
        <v>Renda Principal</v>
      </c>
      <c r="M84" t="str">
        <f>IFERROR(VLOOKUP(LO[[#This Row],[Descrição]],TabCategoria[],5,FALSE),"")</f>
        <v>Salário Principal</v>
      </c>
      <c r="N84">
        <f>SUMIFS(TabCategoria[Meta Mês],TabCategoria[Categoria],LO[[#This Row],[CATEGORIA]])</f>
        <v>0</v>
      </c>
      <c r="O84" s="68">
        <f>SUMIFS(LO[Valor],LO[CATEGORIA],LO[[#This Row],[CATEGORIA]],LO[ANO],LO[[#This Row],[ANO]],LO[MÊS],LO[[#This Row],[MÊS]])
/COUNTIFS(LO[CATEGORIA],LO[[#This Row],[CATEGORIA]],LO[ANO],LO[[#This Row],[ANO]],LO[MÊS],LO[[#This Row],[MÊS]])</f>
        <v>2900</v>
      </c>
      <c r="P8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4" t="str">
        <f>IFERROR(INDEX(TabInst[TIPO],MATCH(LO[[#This Row],[INSTITUIÇÃO]],TabInst[DESCRIÇÃO],0)),"")</f>
        <v/>
      </c>
      <c r="R84" t="str">
        <f>IFERROR(INDEX(TabInst[INSTITUIÇÃO],MATCH(LO[[#This Row],[INSTITUIÇÃO]],TabInst[DESCRIÇÃO],0)),"")</f>
        <v/>
      </c>
      <c r="S84" t="str">
        <f>PROPER(TEXT(LO[[#This Row],[DT Venc]],"MMM"))</f>
        <v>Jun</v>
      </c>
      <c r="T84">
        <f>YEAR(LO[[#This Row],[DT Venc]])</f>
        <v>2026</v>
      </c>
      <c r="U84" t="str">
        <f>IFERROR(VLOOKUP(LO[[#This Row],[CATEGORIA]],TabCategoria[],2,FALSE),"")</f>
        <v/>
      </c>
      <c r="V84" t="str">
        <f>IF(LO[[#This Row],[CONTA/CARTAO]]="Cartão","Cartão",IF(LO[[#This Row],[CATEGORIA]]="Pagamento de Cartão","Fatura",""))</f>
        <v/>
      </c>
      <c r="W84">
        <f>IF(LO[[#This Row],[Tipo]]="Receita",LO[[#This Row],[Valor]],IF(LO[[#This Row],[Tipo]]="Despesa",-LO[[#This Row],[Valor]],0))</f>
        <v>2900</v>
      </c>
    </row>
    <row r="85" spans="2:23" x14ac:dyDescent="0.3">
      <c r="B85" s="11">
        <v>46113</v>
      </c>
      <c r="C85" s="11">
        <v>46182</v>
      </c>
      <c r="D85" t="s">
        <v>342</v>
      </c>
      <c r="E85" s="28">
        <v>90</v>
      </c>
      <c r="F85" t="s">
        <v>284</v>
      </c>
      <c r="G85" t="s">
        <v>280</v>
      </c>
      <c r="H85" t="s">
        <v>355</v>
      </c>
      <c r="I85" t="s">
        <v>344</v>
      </c>
      <c r="J85" t="str">
        <f>IFERROR(VLOOKUP(LO[[#This Row],[Descrição]],TabCategoria[],2,FALSE),"")</f>
        <v>OPERACIONAL</v>
      </c>
      <c r="K85" t="str">
        <f>IFERROR(VLOOKUP(LO[[#This Row],[Descrição]],TabCategoria[],3,FALSE),"")</f>
        <v>DESPESA</v>
      </c>
      <c r="L85" t="str">
        <f>IFERROR(VLOOKUP(LO[[#This Row],[Descrição]],TabCategoria[],4,FALSE),"")</f>
        <v>Lazer</v>
      </c>
      <c r="M85" t="str">
        <f>IFERROR(VLOOKUP(LO[[#This Row],[Descrição]],TabCategoria[],5,FALSE),"")</f>
        <v>Outros Lazer</v>
      </c>
      <c r="N85">
        <f>SUMIFS(TabCategoria[Meta Mês],TabCategoria[Categoria],LO[[#This Row],[CATEGORIA]])</f>
        <v>0</v>
      </c>
      <c r="O85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8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5" t="str">
        <f>IFERROR(INDEX(TabInst[TIPO],MATCH(LO[[#This Row],[INSTITUIÇÃO]],TabInst[DESCRIÇÃO],0)),"")</f>
        <v/>
      </c>
      <c r="R85" t="str">
        <f>IFERROR(INDEX(TabInst[INSTITUIÇÃO],MATCH(LO[[#This Row],[INSTITUIÇÃO]],TabInst[DESCRIÇÃO],0)),"")</f>
        <v/>
      </c>
      <c r="S85" t="str">
        <f>PROPER(TEXT(LO[[#This Row],[DT Venc]],"MMM"))</f>
        <v>Jun</v>
      </c>
      <c r="T85">
        <f>YEAR(LO[[#This Row],[DT Venc]])</f>
        <v>2026</v>
      </c>
      <c r="U85" t="str">
        <f>IFERROR(VLOOKUP(LO[[#This Row],[CATEGORIA]],TabCategoria[],2,FALSE),"")</f>
        <v/>
      </c>
      <c r="V85" t="str">
        <f>IF(LO[[#This Row],[CONTA/CARTAO]]="Cartão","Cartão",IF(LO[[#This Row],[CATEGORIA]]="Pagamento de Cartão","Fatura",""))</f>
        <v/>
      </c>
      <c r="W85">
        <f>IF(LO[[#This Row],[Tipo]]="Receita",LO[[#This Row],[Valor]],IF(LO[[#This Row],[Tipo]]="Despesa",-LO[[#This Row],[Valor]],0))</f>
        <v>-90</v>
      </c>
    </row>
    <row r="86" spans="2:23" x14ac:dyDescent="0.3">
      <c r="B86" s="11">
        <v>46125</v>
      </c>
      <c r="C86" s="11">
        <v>46183</v>
      </c>
      <c r="D86" t="s">
        <v>326</v>
      </c>
      <c r="E86" s="28">
        <v>391</v>
      </c>
      <c r="F86" t="s">
        <v>353</v>
      </c>
      <c r="G86" t="s">
        <v>354</v>
      </c>
      <c r="H86" t="s">
        <v>355</v>
      </c>
      <c r="I86" t="s">
        <v>352</v>
      </c>
      <c r="J86" t="str">
        <f>IFERROR(VLOOKUP(LO[[#This Row],[Descrição]],TabCategoria[],2,FALSE),"")</f>
        <v>NÃO OPERACIONAL</v>
      </c>
      <c r="K86" t="str">
        <f>IFERROR(VLOOKUP(LO[[#This Row],[Descrição]],TabCategoria[],3,FALSE),"")</f>
        <v>DESPESA</v>
      </c>
      <c r="L86" t="str">
        <f>IFERROR(VLOOKUP(LO[[#This Row],[Descrição]],TabCategoria[],4,FALSE),"")</f>
        <v>Empréstimo</v>
      </c>
      <c r="M86" t="str">
        <f>IFERROR(VLOOKUP(LO[[#This Row],[Descrição]],TabCategoria[],5,FALSE),"")</f>
        <v>Empréstimo Pessoal - Banco</v>
      </c>
      <c r="N86">
        <f>SUMIFS(TabCategoria[Meta Mês],TabCategoria[Categoria],LO[[#This Row],[CATEGORIA]])</f>
        <v>0</v>
      </c>
      <c r="O86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8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6" t="str">
        <f>IFERROR(INDEX(TabInst[TIPO],MATCH(LO[[#This Row],[INSTITUIÇÃO]],TabInst[DESCRIÇÃO],0)),"")</f>
        <v/>
      </c>
      <c r="R86" t="str">
        <f>IFERROR(INDEX(TabInst[INSTITUIÇÃO],MATCH(LO[[#This Row],[INSTITUIÇÃO]],TabInst[DESCRIÇÃO],0)),"")</f>
        <v/>
      </c>
      <c r="S86" t="str">
        <f>PROPER(TEXT(LO[[#This Row],[DT Venc]],"MMM"))</f>
        <v>Jun</v>
      </c>
      <c r="T86">
        <f>YEAR(LO[[#This Row],[DT Venc]])</f>
        <v>2026</v>
      </c>
      <c r="U86" t="str">
        <f>IFERROR(VLOOKUP(LO[[#This Row],[CATEGORIA]],TabCategoria[],2,FALSE),"")</f>
        <v/>
      </c>
      <c r="V86" t="str">
        <f>IF(LO[[#This Row],[CONTA/CARTAO]]="Cartão","Cartão",IF(LO[[#This Row],[CATEGORIA]]="Pagamento de Cartão","Fatura",""))</f>
        <v/>
      </c>
      <c r="W86">
        <f>IF(LO[[#This Row],[Tipo]]="Receita",LO[[#This Row],[Valor]],IF(LO[[#This Row],[Tipo]]="Despesa",-LO[[#This Row],[Valor]],0))</f>
        <v>-391</v>
      </c>
    </row>
    <row r="87" spans="2:23" hidden="1" x14ac:dyDescent="0.3">
      <c r="B87" s="11">
        <v>46174</v>
      </c>
      <c r="C87" s="11">
        <v>46204</v>
      </c>
      <c r="D87" t="s">
        <v>302</v>
      </c>
      <c r="E87" s="28">
        <v>2927</v>
      </c>
      <c r="F87" t="s">
        <v>284</v>
      </c>
      <c r="G87" t="s">
        <v>337</v>
      </c>
      <c r="H87" t="s">
        <v>313</v>
      </c>
      <c r="J87" t="str">
        <f>IFERROR(VLOOKUP(LO[[#This Row],[Descrição]],TabCategoria[],2,FALSE),"")</f>
        <v>OPERACIONAL</v>
      </c>
      <c r="K87" t="str">
        <f>IFERROR(VLOOKUP(LO[[#This Row],[Descrição]],TabCategoria[],3,FALSE),"")</f>
        <v>RECEITA</v>
      </c>
      <c r="L87" t="str">
        <f>IFERROR(VLOOKUP(LO[[#This Row],[Descrição]],TabCategoria[],4,FALSE),"")</f>
        <v>Renda Principal</v>
      </c>
      <c r="M87" t="str">
        <f>IFERROR(VLOOKUP(LO[[#This Row],[Descrição]],TabCategoria[],5,FALSE),"")</f>
        <v>Salário Principal</v>
      </c>
      <c r="N87">
        <f>SUMIFS(TabCategoria[Meta Mês],TabCategoria[Categoria],LO[[#This Row],[CATEGORIA]])</f>
        <v>0</v>
      </c>
      <c r="O87" s="68">
        <f>SUMIFS(LO[Valor],LO[CATEGORIA],LO[[#This Row],[CATEGORIA]],LO[ANO],LO[[#This Row],[ANO]],LO[MÊS],LO[[#This Row],[MÊS]])
/COUNTIFS(LO[CATEGORIA],LO[[#This Row],[CATEGORIA]],LO[ANO],LO[[#This Row],[ANO]],LO[MÊS],LO[[#This Row],[MÊS]])</f>
        <v>2927</v>
      </c>
      <c r="P8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7" t="str">
        <f>IFERROR(INDEX(TabInst[TIPO],MATCH(LO[[#This Row],[INSTITUIÇÃO]],TabInst[DESCRIÇÃO],0)),"")</f>
        <v/>
      </c>
      <c r="R87" t="str">
        <f>IFERROR(INDEX(TabInst[INSTITUIÇÃO],MATCH(LO[[#This Row],[INSTITUIÇÃO]],TabInst[DESCRIÇÃO],0)),"")</f>
        <v/>
      </c>
      <c r="S87" t="str">
        <f>PROPER(TEXT(LO[[#This Row],[DT Venc]],"MMM"))</f>
        <v>Jul</v>
      </c>
      <c r="T87">
        <f>YEAR(LO[[#This Row],[DT Venc]])</f>
        <v>2026</v>
      </c>
      <c r="U87" t="str">
        <f>IFERROR(VLOOKUP(LO[[#This Row],[CATEGORIA]],TabCategoria[],2,FALSE),"")</f>
        <v/>
      </c>
      <c r="V87" t="str">
        <f>IF(LO[[#This Row],[CONTA/CARTAO]]="Cartão","Cartão",IF(LO[[#This Row],[CATEGORIA]]="Pagamento de Cartão","Fatura",""))</f>
        <v/>
      </c>
      <c r="W87">
        <f>IF(LO[[#This Row],[Tipo]]="Receita",LO[[#This Row],[Valor]],IF(LO[[#This Row],[Tipo]]="Despesa",-LO[[#This Row],[Valor]],0))</f>
        <v>2927</v>
      </c>
    </row>
    <row r="88" spans="2:23" hidden="1" x14ac:dyDescent="0.3">
      <c r="B88" s="11">
        <v>46174</v>
      </c>
      <c r="C88" s="11">
        <v>46204</v>
      </c>
      <c r="D88" t="s">
        <v>326</v>
      </c>
      <c r="E88" s="28">
        <v>188.68</v>
      </c>
      <c r="F88" t="s">
        <v>284</v>
      </c>
      <c r="G88" t="s">
        <v>282</v>
      </c>
      <c r="H88" t="s">
        <v>313</v>
      </c>
      <c r="J88" t="str">
        <f>IFERROR(VLOOKUP(LO[[#This Row],[Descrição]],TabCategoria[],2,FALSE),"")</f>
        <v>NÃO OPERACIONAL</v>
      </c>
      <c r="K88" t="str">
        <f>IFERROR(VLOOKUP(LO[[#This Row],[Descrição]],TabCategoria[],3,FALSE),"")</f>
        <v>DESPESA</v>
      </c>
      <c r="L88" t="str">
        <f>IFERROR(VLOOKUP(LO[[#This Row],[Descrição]],TabCategoria[],4,FALSE),"")</f>
        <v>Empréstimo</v>
      </c>
      <c r="M88" t="str">
        <f>IFERROR(VLOOKUP(LO[[#This Row],[Descrição]],TabCategoria[],5,FALSE),"")</f>
        <v>Empréstimo Pessoal - Banco</v>
      </c>
      <c r="N88">
        <f>SUMIFS(TabCategoria[Meta Mês],TabCategoria[Categoria],LO[[#This Row],[CATEGORIA]])</f>
        <v>0</v>
      </c>
      <c r="O88" s="68">
        <f>SUMIFS(LO[Valor],LO[CATEGORIA],LO[[#This Row],[CATEGORIA]],LO[ANO],LO[[#This Row],[ANO]],LO[MÊS],LO[[#This Row],[MÊS]])
/COUNTIFS(LO[CATEGORIA],LO[[#This Row],[CATEGORIA]],LO[ANO],LO[[#This Row],[ANO]],LO[MÊS],LO[[#This Row],[MÊS]])</f>
        <v>332.42</v>
      </c>
      <c r="P8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8" t="str">
        <f>IFERROR(INDEX(TabInst[TIPO],MATCH(LO[[#This Row],[INSTITUIÇÃO]],TabInst[DESCRIÇÃO],0)),"")</f>
        <v/>
      </c>
      <c r="R88" t="str">
        <f>IFERROR(INDEX(TabInst[INSTITUIÇÃO],MATCH(LO[[#This Row],[INSTITUIÇÃO]],TabInst[DESCRIÇÃO],0)),"")</f>
        <v/>
      </c>
      <c r="S88" t="str">
        <f>PROPER(TEXT(LO[[#This Row],[DT Venc]],"MMM"))</f>
        <v>Jul</v>
      </c>
      <c r="T88">
        <f>YEAR(LO[[#This Row],[DT Venc]])</f>
        <v>2026</v>
      </c>
      <c r="U88" t="str">
        <f>IFERROR(VLOOKUP(LO[[#This Row],[CATEGORIA]],TabCategoria[],2,FALSE),"")</f>
        <v/>
      </c>
      <c r="V88" t="str">
        <f>IF(LO[[#This Row],[CONTA/CARTAO]]="Cartão","Cartão",IF(LO[[#This Row],[CATEGORIA]]="Pagamento de Cartão","Fatura",""))</f>
        <v/>
      </c>
      <c r="W88">
        <f>IF(LO[[#This Row],[Tipo]]="Receita",LO[[#This Row],[Valor]],IF(LO[[#This Row],[Tipo]]="Despesa",-LO[[#This Row],[Valor]],0))</f>
        <v>-188.68</v>
      </c>
    </row>
    <row r="89" spans="2:23" hidden="1" x14ac:dyDescent="0.3">
      <c r="B89" s="11">
        <v>46174</v>
      </c>
      <c r="C89" s="11">
        <v>46204</v>
      </c>
      <c r="D89" t="s">
        <v>318</v>
      </c>
      <c r="E89" s="28">
        <v>250</v>
      </c>
      <c r="F89" t="s">
        <v>284</v>
      </c>
      <c r="G89" t="s">
        <v>280</v>
      </c>
      <c r="H89" t="s">
        <v>313</v>
      </c>
      <c r="J89" t="str">
        <f>IFERROR(VLOOKUP(LO[[#This Row],[Descrição]],TabCategoria[],2,FALSE),"")</f>
        <v>OPERACIONAL</v>
      </c>
      <c r="K89" t="str">
        <f>IFERROR(VLOOKUP(LO[[#This Row],[Descrição]],TabCategoria[],3,FALSE),"")</f>
        <v>DESPESA</v>
      </c>
      <c r="L89" t="str">
        <f>IFERROR(VLOOKUP(LO[[#This Row],[Descrição]],TabCategoria[],4,FALSE),"")</f>
        <v>Moradia</v>
      </c>
      <c r="M89" t="str">
        <f>IFERROR(VLOOKUP(LO[[#This Row],[Descrição]],TabCategoria[],5,FALSE),"")</f>
        <v>Água</v>
      </c>
      <c r="N89">
        <f>SUMIFS(TabCategoria[Meta Mês],TabCategoria[Categoria],LO[[#This Row],[CATEGORIA]])</f>
        <v>0</v>
      </c>
      <c r="O89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8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89" t="str">
        <f>IFERROR(INDEX(TabInst[TIPO],MATCH(LO[[#This Row],[INSTITUIÇÃO]],TabInst[DESCRIÇÃO],0)),"")</f>
        <v/>
      </c>
      <c r="R89" t="str">
        <f>IFERROR(INDEX(TabInst[INSTITUIÇÃO],MATCH(LO[[#This Row],[INSTITUIÇÃO]],TabInst[DESCRIÇÃO],0)),"")</f>
        <v/>
      </c>
      <c r="S89" t="str">
        <f>PROPER(TEXT(LO[[#This Row],[DT Venc]],"MMM"))</f>
        <v>Jul</v>
      </c>
      <c r="T89">
        <f>YEAR(LO[[#This Row],[DT Venc]])</f>
        <v>2026</v>
      </c>
      <c r="U89" t="str">
        <f>IFERROR(VLOOKUP(LO[[#This Row],[CATEGORIA]],TabCategoria[],2,FALSE),"")</f>
        <v/>
      </c>
      <c r="V89" t="str">
        <f>IF(LO[[#This Row],[CONTA/CARTAO]]="Cartão","Cartão",IF(LO[[#This Row],[CATEGORIA]]="Pagamento de Cartão","Fatura",""))</f>
        <v/>
      </c>
      <c r="W89">
        <f>IF(LO[[#This Row],[Tipo]]="Receita",LO[[#This Row],[Valor]],IF(LO[[#This Row],[Tipo]]="Despesa",-LO[[#This Row],[Valor]],0))</f>
        <v>-250</v>
      </c>
    </row>
    <row r="90" spans="2:23" hidden="1" x14ac:dyDescent="0.3">
      <c r="B90" s="11">
        <v>46174</v>
      </c>
      <c r="C90" s="11">
        <v>46204</v>
      </c>
      <c r="D90" t="s">
        <v>319</v>
      </c>
      <c r="E90" s="72">
        <v>150</v>
      </c>
      <c r="F90" t="s">
        <v>284</v>
      </c>
      <c r="G90" t="s">
        <v>280</v>
      </c>
      <c r="H90" t="s">
        <v>313</v>
      </c>
      <c r="J90" t="str">
        <f>IFERROR(VLOOKUP(LO[[#This Row],[Descrição]],TabCategoria[],2,FALSE),"")</f>
        <v>OPERACIONAL</v>
      </c>
      <c r="K90" t="str">
        <f>IFERROR(VLOOKUP(LO[[#This Row],[Descrição]],TabCategoria[],3,FALSE),"")</f>
        <v>DESPESA</v>
      </c>
      <c r="L90" t="str">
        <f>IFERROR(VLOOKUP(LO[[#This Row],[Descrição]],TabCategoria[],4,FALSE),"")</f>
        <v>Transporte</v>
      </c>
      <c r="M90" t="str">
        <f>IFERROR(VLOOKUP(LO[[#This Row],[Descrição]],TabCategoria[],5,FALSE),"")</f>
        <v>Combustível</v>
      </c>
      <c r="N90">
        <f>SUMIFS(TabCategoria[Meta Mês],TabCategoria[Categoria],LO[[#This Row],[CATEGORIA]])</f>
        <v>0</v>
      </c>
      <c r="O90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9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0" t="str">
        <f>IFERROR(INDEX(TabInst[TIPO],MATCH(LO[[#This Row],[INSTITUIÇÃO]],TabInst[DESCRIÇÃO],0)),"")</f>
        <v/>
      </c>
      <c r="R90" t="str">
        <f>IFERROR(INDEX(TabInst[INSTITUIÇÃO],MATCH(LO[[#This Row],[INSTITUIÇÃO]],TabInst[DESCRIÇÃO],0)),"")</f>
        <v/>
      </c>
      <c r="S90" t="str">
        <f>PROPER(TEXT(LO[[#This Row],[DT Venc]],"MMM"))</f>
        <v>Jul</v>
      </c>
      <c r="T90">
        <f>YEAR(LO[[#This Row],[DT Venc]])</f>
        <v>2026</v>
      </c>
      <c r="U90" t="str">
        <f>IFERROR(VLOOKUP(LO[[#This Row],[CATEGORIA]],TabCategoria[],2,FALSE),"")</f>
        <v/>
      </c>
      <c r="V90" t="str">
        <f>IF(LO[[#This Row],[CONTA/CARTAO]]="Cartão","Cartão",IF(LO[[#This Row],[CATEGORIA]]="Pagamento de Cartão","Fatura",""))</f>
        <v/>
      </c>
      <c r="W90">
        <f>IF(LO[[#This Row],[Tipo]]="Receita",LO[[#This Row],[Valor]],IF(LO[[#This Row],[Tipo]]="Despesa",-LO[[#This Row],[Valor]],0))</f>
        <v>-150</v>
      </c>
    </row>
    <row r="91" spans="2:23" hidden="1" x14ac:dyDescent="0.3">
      <c r="B91" s="11">
        <v>46174</v>
      </c>
      <c r="C91" s="11">
        <v>46204</v>
      </c>
      <c r="D91" t="s">
        <v>286</v>
      </c>
      <c r="E91" s="72">
        <v>45</v>
      </c>
      <c r="F91" t="s">
        <v>284</v>
      </c>
      <c r="G91" t="s">
        <v>281</v>
      </c>
      <c r="H91" t="s">
        <v>313</v>
      </c>
      <c r="J91" t="str">
        <f>IFERROR(VLOOKUP(LO[[#This Row],[Descrição]],TabCategoria[],2,FALSE),"")</f>
        <v>OPERACIONAL</v>
      </c>
      <c r="K91" t="str">
        <f>IFERROR(VLOOKUP(LO[[#This Row],[Descrição]],TabCategoria[],3,FALSE),"")</f>
        <v>DESPESA</v>
      </c>
      <c r="L91" t="str">
        <f>IFERROR(VLOOKUP(LO[[#This Row],[Descrição]],TabCategoria[],4,FALSE),"")</f>
        <v>Comunicação</v>
      </c>
      <c r="M91" t="str">
        <f>IFERROR(VLOOKUP(LO[[#This Row],[Descrição]],TabCategoria[],5,FALSE),"")</f>
        <v>Internet</v>
      </c>
      <c r="N91">
        <f>SUMIFS(TabCategoria[Meta Mês],TabCategoria[Categoria],LO[[#This Row],[CATEGORIA]])</f>
        <v>0</v>
      </c>
      <c r="O91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9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1" t="str">
        <f>IFERROR(INDEX(TabInst[TIPO],MATCH(LO[[#This Row],[INSTITUIÇÃO]],TabInst[DESCRIÇÃO],0)),"")</f>
        <v/>
      </c>
      <c r="R91" t="str">
        <f>IFERROR(INDEX(TabInst[INSTITUIÇÃO],MATCH(LO[[#This Row],[INSTITUIÇÃO]],TabInst[DESCRIÇÃO],0)),"")</f>
        <v/>
      </c>
      <c r="S91" t="str">
        <f>PROPER(TEXT(LO[[#This Row],[DT Venc]],"MMM"))</f>
        <v>Jul</v>
      </c>
      <c r="T91">
        <f>YEAR(LO[[#This Row],[DT Venc]])</f>
        <v>2026</v>
      </c>
      <c r="U91" t="str">
        <f>IFERROR(VLOOKUP(LO[[#This Row],[CATEGORIA]],TabCategoria[],2,FALSE),"")</f>
        <v/>
      </c>
      <c r="V91" t="str">
        <f>IF(LO[[#This Row],[CONTA/CARTAO]]="Cartão","Cartão",IF(LO[[#This Row],[CATEGORIA]]="Pagamento de Cartão","Fatura",""))</f>
        <v/>
      </c>
      <c r="W91">
        <f>IF(LO[[#This Row],[Tipo]]="Receita",LO[[#This Row],[Valor]],IF(LO[[#This Row],[Tipo]]="Despesa",-LO[[#This Row],[Valor]],0))</f>
        <v>-45</v>
      </c>
    </row>
    <row r="92" spans="2:23" hidden="1" x14ac:dyDescent="0.3">
      <c r="B92" s="11">
        <v>46174</v>
      </c>
      <c r="C92" s="11">
        <v>46204</v>
      </c>
      <c r="D92" t="s">
        <v>287</v>
      </c>
      <c r="E92" s="72">
        <v>137</v>
      </c>
      <c r="F92" t="s">
        <v>284</v>
      </c>
      <c r="G92" t="s">
        <v>281</v>
      </c>
      <c r="H92" t="s">
        <v>313</v>
      </c>
      <c r="J92" t="str">
        <f>IFERROR(VLOOKUP(LO[[#This Row],[Descrição]],TabCategoria[],2,FALSE),"")</f>
        <v>NÃO OPERACIONAL</v>
      </c>
      <c r="K92" t="str">
        <f>IFERROR(VLOOKUP(LO[[#This Row],[Descrição]],TabCategoria[],3,FALSE),"")</f>
        <v>DESPESA</v>
      </c>
      <c r="L92" t="str">
        <f>IFERROR(VLOOKUP(LO[[#This Row],[Descrição]],TabCategoria[],4,FALSE),"")</f>
        <v>Pessoais</v>
      </c>
      <c r="M92" t="str">
        <f>IFERROR(VLOOKUP(LO[[#This Row],[Descrição]],TabCategoria[],5,FALSE),"")</f>
        <v>INTERNET CELULAR</v>
      </c>
      <c r="N92">
        <f>SUMIFS(TabCategoria[Meta Mês],TabCategoria[Categoria],LO[[#This Row],[CATEGORIA]])</f>
        <v>0</v>
      </c>
      <c r="O92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9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2" t="str">
        <f>IFERROR(INDEX(TabInst[TIPO],MATCH(LO[[#This Row],[INSTITUIÇÃO]],TabInst[DESCRIÇÃO],0)),"")</f>
        <v/>
      </c>
      <c r="R92" t="str">
        <f>IFERROR(INDEX(TabInst[INSTITUIÇÃO],MATCH(LO[[#This Row],[INSTITUIÇÃO]],TabInst[DESCRIÇÃO],0)),"")</f>
        <v/>
      </c>
      <c r="S92" t="str">
        <f>PROPER(TEXT(LO[[#This Row],[DT Venc]],"MMM"))</f>
        <v>Jul</v>
      </c>
      <c r="T92">
        <f>YEAR(LO[[#This Row],[DT Venc]])</f>
        <v>2026</v>
      </c>
      <c r="U92" t="str">
        <f>IFERROR(VLOOKUP(LO[[#This Row],[CATEGORIA]],TabCategoria[],2,FALSE),"")</f>
        <v/>
      </c>
      <c r="V92" t="str">
        <f>IF(LO[[#This Row],[CONTA/CARTAO]]="Cartão","Cartão",IF(LO[[#This Row],[CATEGORIA]]="Pagamento de Cartão","Fatura",""))</f>
        <v/>
      </c>
      <c r="W92">
        <f>IF(LO[[#This Row],[Tipo]]="Receita",LO[[#This Row],[Valor]],IF(LO[[#This Row],[Tipo]]="Despesa",-LO[[#This Row],[Valor]],0))</f>
        <v>-137</v>
      </c>
    </row>
    <row r="93" spans="2:23" hidden="1" x14ac:dyDescent="0.3">
      <c r="B93" s="11">
        <v>46174</v>
      </c>
      <c r="C93" s="11">
        <v>46204</v>
      </c>
      <c r="D93" t="s">
        <v>288</v>
      </c>
      <c r="E93" s="72">
        <v>21</v>
      </c>
      <c r="F93" t="s">
        <v>284</v>
      </c>
      <c r="G93" t="s">
        <v>281</v>
      </c>
      <c r="H93" t="s">
        <v>313</v>
      </c>
      <c r="J93" t="str">
        <f>IFERROR(VLOOKUP(LO[[#This Row],[Descrição]],TabCategoria[],2,FALSE),"")</f>
        <v>OPERACIONAL</v>
      </c>
      <c r="K93" t="str">
        <f>IFERROR(VLOOKUP(LO[[#This Row],[Descrição]],TabCategoria[],3,FALSE),"")</f>
        <v>DESPESA</v>
      </c>
      <c r="L93" t="str">
        <f>IFERROR(VLOOKUP(LO[[#This Row],[Descrição]],TabCategoria[],4,FALSE),"")</f>
        <v>Comunicação</v>
      </c>
      <c r="M93" t="str">
        <f>IFERROR(VLOOKUP(LO[[#This Row],[Descrição]],TabCategoria[],5,FALSE),"")</f>
        <v>Apps (Netflix, Spotify, Skype, etc)</v>
      </c>
      <c r="N93">
        <f>SUMIFS(TabCategoria[Meta Mês],TabCategoria[Categoria],LO[[#This Row],[CATEGORIA]])</f>
        <v>0</v>
      </c>
      <c r="O93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9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3" t="str">
        <f>IFERROR(INDEX(TabInst[TIPO],MATCH(LO[[#This Row],[INSTITUIÇÃO]],TabInst[DESCRIÇÃO],0)),"")</f>
        <v/>
      </c>
      <c r="R93" t="str">
        <f>IFERROR(INDEX(TabInst[INSTITUIÇÃO],MATCH(LO[[#This Row],[INSTITUIÇÃO]],TabInst[DESCRIÇÃO],0)),"")</f>
        <v/>
      </c>
      <c r="S93" t="str">
        <f>PROPER(TEXT(LO[[#This Row],[DT Venc]],"MMM"))</f>
        <v>Jul</v>
      </c>
      <c r="T93">
        <f>YEAR(LO[[#This Row],[DT Venc]])</f>
        <v>2026</v>
      </c>
      <c r="U93" t="str">
        <f>IFERROR(VLOOKUP(LO[[#This Row],[CATEGORIA]],TabCategoria[],2,FALSE),"")</f>
        <v/>
      </c>
      <c r="V93" t="str">
        <f>IF(LO[[#This Row],[CONTA/CARTAO]]="Cartão","Cartão",IF(LO[[#This Row],[CATEGORIA]]="Pagamento de Cartão","Fatura",""))</f>
        <v/>
      </c>
      <c r="W93">
        <f>IF(LO[[#This Row],[Tipo]]="Receita",LO[[#This Row],[Valor]],IF(LO[[#This Row],[Tipo]]="Despesa",-LO[[#This Row],[Valor]],0))</f>
        <v>-21</v>
      </c>
    </row>
    <row r="94" spans="2:23" hidden="1" x14ac:dyDescent="0.3">
      <c r="B94" s="11">
        <v>46174</v>
      </c>
      <c r="C94" s="11">
        <v>46204</v>
      </c>
      <c r="D94" t="s">
        <v>288</v>
      </c>
      <c r="E94" s="72">
        <v>24.9</v>
      </c>
      <c r="F94" t="s">
        <v>284</v>
      </c>
      <c r="G94" t="s">
        <v>281</v>
      </c>
      <c r="H94" t="s">
        <v>313</v>
      </c>
      <c r="J94" t="str">
        <f>IFERROR(VLOOKUP(LO[[#This Row],[Descrição]],TabCategoria[],2,FALSE),"")</f>
        <v>OPERACIONAL</v>
      </c>
      <c r="K94" t="str">
        <f>IFERROR(VLOOKUP(LO[[#This Row],[Descrição]],TabCategoria[],3,FALSE),"")</f>
        <v>DESPESA</v>
      </c>
      <c r="L94" t="str">
        <f>IFERROR(VLOOKUP(LO[[#This Row],[Descrição]],TabCategoria[],4,FALSE),"")</f>
        <v>Comunicação</v>
      </c>
      <c r="M94" t="str">
        <f>IFERROR(VLOOKUP(LO[[#This Row],[Descrição]],TabCategoria[],5,FALSE),"")</f>
        <v>Apps (Netflix, Spotify, Skype, etc)</v>
      </c>
      <c r="N94">
        <f>SUMIFS(TabCategoria[Meta Mês],TabCategoria[Categoria],LO[[#This Row],[CATEGORIA]])</f>
        <v>0</v>
      </c>
      <c r="O94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9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4" t="str">
        <f>IFERROR(INDEX(TabInst[TIPO],MATCH(LO[[#This Row],[INSTITUIÇÃO]],TabInst[DESCRIÇÃO],0)),"")</f>
        <v/>
      </c>
      <c r="R94" t="str">
        <f>IFERROR(INDEX(TabInst[INSTITUIÇÃO],MATCH(LO[[#This Row],[INSTITUIÇÃO]],TabInst[DESCRIÇÃO],0)),"")</f>
        <v/>
      </c>
      <c r="S94" t="str">
        <f>PROPER(TEXT(LO[[#This Row],[DT Venc]],"MMM"))</f>
        <v>Jul</v>
      </c>
      <c r="T94">
        <f>YEAR(LO[[#This Row],[DT Venc]])</f>
        <v>2026</v>
      </c>
      <c r="U94" t="str">
        <f>IFERROR(VLOOKUP(LO[[#This Row],[CATEGORIA]],TabCategoria[],2,FALSE),"")</f>
        <v/>
      </c>
      <c r="V94" t="str">
        <f>IF(LO[[#This Row],[CONTA/CARTAO]]="Cartão","Cartão",IF(LO[[#This Row],[CATEGORIA]]="Pagamento de Cartão","Fatura",""))</f>
        <v/>
      </c>
      <c r="W94">
        <f>IF(LO[[#This Row],[Tipo]]="Receita",LO[[#This Row],[Valor]],IF(LO[[#This Row],[Tipo]]="Despesa",-LO[[#This Row],[Valor]],0))</f>
        <v>-24.9</v>
      </c>
    </row>
    <row r="95" spans="2:23" hidden="1" x14ac:dyDescent="0.3">
      <c r="B95" s="11">
        <v>46174</v>
      </c>
      <c r="C95" s="11">
        <v>46204</v>
      </c>
      <c r="D95" t="s">
        <v>288</v>
      </c>
      <c r="E95" s="72">
        <v>35</v>
      </c>
      <c r="F95" t="s">
        <v>284</v>
      </c>
      <c r="G95" t="s">
        <v>281</v>
      </c>
      <c r="H95" t="s">
        <v>313</v>
      </c>
      <c r="J95" t="str">
        <f>IFERROR(VLOOKUP(LO[[#This Row],[Descrição]],TabCategoria[],2,FALSE),"")</f>
        <v>OPERACIONAL</v>
      </c>
      <c r="K95" t="str">
        <f>IFERROR(VLOOKUP(LO[[#This Row],[Descrição]],TabCategoria[],3,FALSE),"")</f>
        <v>DESPESA</v>
      </c>
      <c r="L95" t="str">
        <f>IFERROR(VLOOKUP(LO[[#This Row],[Descrição]],TabCategoria[],4,FALSE),"")</f>
        <v>Comunicação</v>
      </c>
      <c r="M95" t="str">
        <f>IFERROR(VLOOKUP(LO[[#This Row],[Descrição]],TabCategoria[],5,FALSE),"")</f>
        <v>Apps (Netflix, Spotify, Skype, etc)</v>
      </c>
      <c r="N95">
        <f>SUMIFS(TabCategoria[Meta Mês],TabCategoria[Categoria],LO[[#This Row],[CATEGORIA]])</f>
        <v>0</v>
      </c>
      <c r="O95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9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5" t="str">
        <f>IFERROR(INDEX(TabInst[TIPO],MATCH(LO[[#This Row],[INSTITUIÇÃO]],TabInst[DESCRIÇÃO],0)),"")</f>
        <v/>
      </c>
      <c r="R95" t="str">
        <f>IFERROR(INDEX(TabInst[INSTITUIÇÃO],MATCH(LO[[#This Row],[INSTITUIÇÃO]],TabInst[DESCRIÇÃO],0)),"")</f>
        <v/>
      </c>
      <c r="S95" t="str">
        <f>PROPER(TEXT(LO[[#This Row],[DT Venc]],"MMM"))</f>
        <v>Jul</v>
      </c>
      <c r="T95">
        <f>YEAR(LO[[#This Row],[DT Venc]])</f>
        <v>2026</v>
      </c>
      <c r="U95" t="str">
        <f>IFERROR(VLOOKUP(LO[[#This Row],[CATEGORIA]],TabCategoria[],2,FALSE),"")</f>
        <v/>
      </c>
      <c r="V95" t="str">
        <f>IF(LO[[#This Row],[CONTA/CARTAO]]="Cartão","Cartão",IF(LO[[#This Row],[CATEGORIA]]="Pagamento de Cartão","Fatura",""))</f>
        <v/>
      </c>
      <c r="W95">
        <f>IF(LO[[#This Row],[Tipo]]="Receita",LO[[#This Row],[Valor]],IF(LO[[#This Row],[Tipo]]="Despesa",-LO[[#This Row],[Valor]],0))</f>
        <v>-35</v>
      </c>
    </row>
    <row r="96" spans="2:23" hidden="1" x14ac:dyDescent="0.3">
      <c r="B96" s="11">
        <v>46174</v>
      </c>
      <c r="C96" s="11">
        <v>46204</v>
      </c>
      <c r="D96" t="s">
        <v>289</v>
      </c>
      <c r="E96" s="72">
        <v>217</v>
      </c>
      <c r="F96" t="s">
        <v>284</v>
      </c>
      <c r="G96" t="s">
        <v>280</v>
      </c>
      <c r="H96" t="s">
        <v>313</v>
      </c>
      <c r="J96" t="str">
        <f>IFERROR(VLOOKUP(LO[[#This Row],[Descrição]],TabCategoria[],2,FALSE),"")</f>
        <v>NÃO OPERACIONAL</v>
      </c>
      <c r="K96" t="str">
        <f>IFERROR(VLOOKUP(LO[[#This Row],[Descrição]],TabCategoria[],3,FALSE),"")</f>
        <v>DESPESA</v>
      </c>
      <c r="L96" t="str">
        <f>IFERROR(VLOOKUP(LO[[#This Row],[Descrição]],TabCategoria[],4,FALSE),"")</f>
        <v>Lazer</v>
      </c>
      <c r="M96" t="str">
        <f>IFERROR(VLOOKUP(LO[[#This Row],[Descrição]],TabCategoria[],5,FALSE),"")</f>
        <v>CELULAR</v>
      </c>
      <c r="N96">
        <f>SUMIFS(TabCategoria[Meta Mês],TabCategoria[Categoria],LO[[#This Row],[CATEGORIA]])</f>
        <v>0</v>
      </c>
      <c r="O96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9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6" t="str">
        <f>IFERROR(INDEX(TabInst[TIPO],MATCH(LO[[#This Row],[INSTITUIÇÃO]],TabInst[DESCRIÇÃO],0)),"")</f>
        <v/>
      </c>
      <c r="R96" t="str">
        <f>IFERROR(INDEX(TabInst[INSTITUIÇÃO],MATCH(LO[[#This Row],[INSTITUIÇÃO]],TabInst[DESCRIÇÃO],0)),"")</f>
        <v/>
      </c>
      <c r="S96" t="str">
        <f>PROPER(TEXT(LO[[#This Row],[DT Venc]],"MMM"))</f>
        <v>Jul</v>
      </c>
      <c r="T96">
        <f>YEAR(LO[[#This Row],[DT Venc]])</f>
        <v>2026</v>
      </c>
      <c r="U96" t="str">
        <f>IFERROR(VLOOKUP(LO[[#This Row],[CATEGORIA]],TabCategoria[],2,FALSE),"")</f>
        <v/>
      </c>
      <c r="V96" t="str">
        <f>IF(LO[[#This Row],[CONTA/CARTAO]]="Cartão","Cartão",IF(LO[[#This Row],[CATEGORIA]]="Pagamento de Cartão","Fatura",""))</f>
        <v/>
      </c>
      <c r="W96">
        <f>IF(LO[[#This Row],[Tipo]]="Receita",LO[[#This Row],[Valor]],IF(LO[[#This Row],[Tipo]]="Despesa",-LO[[#This Row],[Valor]],0))</f>
        <v>-217</v>
      </c>
    </row>
    <row r="97" spans="2:23" hidden="1" x14ac:dyDescent="0.3">
      <c r="B97" s="11">
        <v>46174</v>
      </c>
      <c r="C97" s="11">
        <v>46204</v>
      </c>
      <c r="D97" t="s">
        <v>290</v>
      </c>
      <c r="E97" s="72">
        <v>67.8</v>
      </c>
      <c r="F97" t="s">
        <v>284</v>
      </c>
      <c r="G97" t="s">
        <v>280</v>
      </c>
      <c r="H97" t="s">
        <v>313</v>
      </c>
      <c r="J97" t="str">
        <f>IFERROR(VLOOKUP(LO[[#This Row],[Descrição]],TabCategoria[],2,FALSE),"")</f>
        <v>NÃO OPERACIONAL</v>
      </c>
      <c r="K97" t="str">
        <f>IFERROR(VLOOKUP(LO[[#This Row],[Descrição]],TabCategoria[],3,FALSE),"")</f>
        <v>DESPESA</v>
      </c>
      <c r="L97" t="str">
        <f>IFERROR(VLOOKUP(LO[[#This Row],[Descrição]],TabCategoria[],4,FALSE),"")</f>
        <v>Lazer</v>
      </c>
      <c r="M97" t="str">
        <f>IFERROR(VLOOKUP(LO[[#This Row],[Descrição]],TabCategoria[],5,FALSE),"")</f>
        <v>FONTE, COOLER</v>
      </c>
      <c r="N97">
        <f>SUMIFS(TabCategoria[Meta Mês],TabCategoria[Categoria],LO[[#This Row],[CATEGORIA]])</f>
        <v>0</v>
      </c>
      <c r="O97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9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7" t="str">
        <f>IFERROR(INDEX(TabInst[TIPO],MATCH(LO[[#This Row],[INSTITUIÇÃO]],TabInst[DESCRIÇÃO],0)),"")</f>
        <v/>
      </c>
      <c r="R97" t="str">
        <f>IFERROR(INDEX(TabInst[INSTITUIÇÃO],MATCH(LO[[#This Row],[INSTITUIÇÃO]],TabInst[DESCRIÇÃO],0)),"")</f>
        <v/>
      </c>
      <c r="S97" t="str">
        <f>PROPER(TEXT(LO[[#This Row],[DT Venc]],"MMM"))</f>
        <v>Jul</v>
      </c>
      <c r="T97">
        <f>YEAR(LO[[#This Row],[DT Venc]])</f>
        <v>2026</v>
      </c>
      <c r="U97" t="str">
        <f>IFERROR(VLOOKUP(LO[[#This Row],[CATEGORIA]],TabCategoria[],2,FALSE),"")</f>
        <v/>
      </c>
      <c r="V97" t="str">
        <f>IF(LO[[#This Row],[CONTA/CARTAO]]="Cartão","Cartão",IF(LO[[#This Row],[CATEGORIA]]="Pagamento de Cartão","Fatura",""))</f>
        <v/>
      </c>
      <c r="W97">
        <f>IF(LO[[#This Row],[Tipo]]="Receita",LO[[#This Row],[Valor]],IF(LO[[#This Row],[Tipo]]="Despesa",-LO[[#This Row],[Valor]],0))</f>
        <v>-67.8</v>
      </c>
    </row>
    <row r="98" spans="2:23" hidden="1" x14ac:dyDescent="0.3">
      <c r="B98" s="11">
        <v>46174</v>
      </c>
      <c r="C98" s="11">
        <v>46204</v>
      </c>
      <c r="D98" t="s">
        <v>323</v>
      </c>
      <c r="E98" s="28">
        <v>320</v>
      </c>
      <c r="F98" t="s">
        <v>284</v>
      </c>
      <c r="G98" t="s">
        <v>281</v>
      </c>
      <c r="H98" t="s">
        <v>313</v>
      </c>
      <c r="I98" t="s">
        <v>325</v>
      </c>
      <c r="J98" t="str">
        <f>IFERROR(VLOOKUP(LO[[#This Row],[Descrição]],TabCategoria[],2,FALSE),"")</f>
        <v>NÃO OPERACIONAL</v>
      </c>
      <c r="K98" t="str">
        <f>IFERROR(VLOOKUP(LO[[#This Row],[Descrição]],TabCategoria[],3,FALSE),"")</f>
        <v>DESPESA</v>
      </c>
      <c r="L98" t="str">
        <f>IFERROR(VLOOKUP(LO[[#This Row],[Descrição]],TabCategoria[],4,FALSE),"")</f>
        <v>Empréstimo</v>
      </c>
      <c r="M98" t="str">
        <f>IFERROR(VLOOKUP(LO[[#This Row],[Descrição]],TabCategoria[],5,FALSE),"")</f>
        <v>Parcelamento Cartão de Crédito</v>
      </c>
      <c r="N98">
        <f>SUMIFS(TabCategoria[Meta Mês],TabCategoria[Categoria],LO[[#This Row],[CATEGORIA]])</f>
        <v>0</v>
      </c>
      <c r="O98" s="68">
        <f>SUMIFS(LO[Valor],LO[CATEGORIA],LO[[#This Row],[CATEGORIA]],LO[ANO],LO[[#This Row],[ANO]],LO[MÊS],LO[[#This Row],[MÊS]])
/COUNTIFS(LO[CATEGORIA],LO[[#This Row],[CATEGORIA]],LO[ANO],LO[[#This Row],[ANO]],LO[MÊS],LO[[#This Row],[MÊS]])</f>
        <v>332.42</v>
      </c>
      <c r="P9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8" t="str">
        <f>IFERROR(INDEX(TabInst[TIPO],MATCH(LO[[#This Row],[INSTITUIÇÃO]],TabInst[DESCRIÇÃO],0)),"")</f>
        <v/>
      </c>
      <c r="R98" t="str">
        <f>IFERROR(INDEX(TabInst[INSTITUIÇÃO],MATCH(LO[[#This Row],[INSTITUIÇÃO]],TabInst[DESCRIÇÃO],0)),"")</f>
        <v/>
      </c>
      <c r="S98" t="str">
        <f>PROPER(TEXT(LO[[#This Row],[DT Venc]],"MMM"))</f>
        <v>Jul</v>
      </c>
      <c r="T98">
        <f>YEAR(LO[[#This Row],[DT Venc]])</f>
        <v>2026</v>
      </c>
      <c r="U98" t="str">
        <f>IFERROR(VLOOKUP(LO[[#This Row],[CATEGORIA]],TabCategoria[],2,FALSE),"")</f>
        <v/>
      </c>
      <c r="V98" t="str">
        <f>IF(LO[[#This Row],[CONTA/CARTAO]]="Cartão","Cartão",IF(LO[[#This Row],[CATEGORIA]]="Pagamento de Cartão","Fatura",""))</f>
        <v/>
      </c>
      <c r="W98">
        <f>IF(LO[[#This Row],[Tipo]]="Receita",LO[[#This Row],[Valor]],IF(LO[[#This Row],[Tipo]]="Despesa",-LO[[#This Row],[Valor]],0))</f>
        <v>-320</v>
      </c>
    </row>
    <row r="99" spans="2:23" hidden="1" x14ac:dyDescent="0.3">
      <c r="B99" s="11">
        <v>46174</v>
      </c>
      <c r="C99" s="11">
        <v>46204</v>
      </c>
      <c r="D99" t="s">
        <v>291</v>
      </c>
      <c r="E99" s="72">
        <v>50</v>
      </c>
      <c r="F99" t="s">
        <v>284</v>
      </c>
      <c r="G99" t="s">
        <v>280</v>
      </c>
      <c r="H99" t="s">
        <v>313</v>
      </c>
      <c r="J99" t="str">
        <f>IFERROR(VLOOKUP(LO[[#This Row],[Descrição]],TabCategoria[],2,FALSE),"")</f>
        <v>NÃO OPERACIONAL</v>
      </c>
      <c r="K99" t="str">
        <f>IFERROR(VLOOKUP(LO[[#This Row],[Descrição]],TabCategoria[],3,FALSE),"")</f>
        <v>DESPESA</v>
      </c>
      <c r="L99" t="str">
        <f>IFERROR(VLOOKUP(LO[[#This Row],[Descrição]],TabCategoria[],4,FALSE),"")</f>
        <v>Lazer</v>
      </c>
      <c r="M99" t="str">
        <f>IFERROR(VLOOKUP(LO[[#This Row],[Descrição]],TabCategoria[],5,FALSE),"")</f>
        <v>CADEIRA</v>
      </c>
      <c r="N99">
        <f>SUMIFS(TabCategoria[Meta Mês],TabCategoria[Categoria],LO[[#This Row],[CATEGORIA]])</f>
        <v>0</v>
      </c>
      <c r="O99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9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99" t="str">
        <f>IFERROR(INDEX(TabInst[TIPO],MATCH(LO[[#This Row],[INSTITUIÇÃO]],TabInst[DESCRIÇÃO],0)),"")</f>
        <v/>
      </c>
      <c r="R99" t="str">
        <f>IFERROR(INDEX(TabInst[INSTITUIÇÃO],MATCH(LO[[#This Row],[INSTITUIÇÃO]],TabInst[DESCRIÇÃO],0)),"")</f>
        <v/>
      </c>
      <c r="S99" t="str">
        <f>PROPER(TEXT(LO[[#This Row],[DT Venc]],"MMM"))</f>
        <v>Jul</v>
      </c>
      <c r="T99">
        <f>YEAR(LO[[#This Row],[DT Venc]])</f>
        <v>2026</v>
      </c>
      <c r="U99" t="str">
        <f>IFERROR(VLOOKUP(LO[[#This Row],[CATEGORIA]],TabCategoria[],2,FALSE),"")</f>
        <v/>
      </c>
      <c r="V99" t="str">
        <f>IF(LO[[#This Row],[CONTA/CARTAO]]="Cartão","Cartão",IF(LO[[#This Row],[CATEGORIA]]="Pagamento de Cartão","Fatura",""))</f>
        <v/>
      </c>
      <c r="W99">
        <f>IF(LO[[#This Row],[Tipo]]="Receita",LO[[#This Row],[Valor]],IF(LO[[#This Row],[Tipo]]="Despesa",-LO[[#This Row],[Valor]],0))</f>
        <v>-50</v>
      </c>
    </row>
    <row r="100" spans="2:23" hidden="1" x14ac:dyDescent="0.3">
      <c r="B100" s="11">
        <v>46174</v>
      </c>
      <c r="C100" s="11">
        <v>46204</v>
      </c>
      <c r="D100" t="s">
        <v>292</v>
      </c>
      <c r="E100" s="72">
        <v>150</v>
      </c>
      <c r="F100" t="s">
        <v>284</v>
      </c>
      <c r="G100" t="s">
        <v>280</v>
      </c>
      <c r="H100" t="s">
        <v>313</v>
      </c>
      <c r="J100" t="str">
        <f>IFERROR(VLOOKUP(LO[[#This Row],[Descrição]],TabCategoria[],2,FALSE),"")</f>
        <v>NÃO OPERACIONAL</v>
      </c>
      <c r="K100" t="str">
        <f>IFERROR(VLOOKUP(LO[[#This Row],[Descrição]],TabCategoria[],3,FALSE),"")</f>
        <v>DESPESA</v>
      </c>
      <c r="L100" t="str">
        <f>IFERROR(VLOOKUP(LO[[#This Row],[Descrição]],TabCategoria[],4,FALSE),"")</f>
        <v>Lazer</v>
      </c>
      <c r="M100" t="str">
        <f>IFERROR(VLOOKUP(LO[[#This Row],[Descrição]],TabCategoria[],5,FALSE),"")</f>
        <v>PLACA MAE</v>
      </c>
      <c r="N100">
        <f>SUMIFS(TabCategoria[Meta Mês],TabCategoria[Categoria],LO[[#This Row],[CATEGORIA]])</f>
        <v>0</v>
      </c>
      <c r="O100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10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0" t="str">
        <f>IFERROR(INDEX(TabInst[TIPO],MATCH(LO[[#This Row],[INSTITUIÇÃO]],TabInst[DESCRIÇÃO],0)),"")</f>
        <v/>
      </c>
      <c r="R100" t="str">
        <f>IFERROR(INDEX(TabInst[INSTITUIÇÃO],MATCH(LO[[#This Row],[INSTITUIÇÃO]],TabInst[DESCRIÇÃO],0)),"")</f>
        <v/>
      </c>
      <c r="S100" t="str">
        <f>PROPER(TEXT(LO[[#This Row],[DT Venc]],"MMM"))</f>
        <v>Jul</v>
      </c>
      <c r="T100">
        <f>YEAR(LO[[#This Row],[DT Venc]])</f>
        <v>2026</v>
      </c>
      <c r="U100" t="str">
        <f>IFERROR(VLOOKUP(LO[[#This Row],[CATEGORIA]],TabCategoria[],2,FALSE),"")</f>
        <v/>
      </c>
      <c r="V100" t="str">
        <f>IF(LO[[#This Row],[CONTA/CARTAO]]="Cartão","Cartão",IF(LO[[#This Row],[CATEGORIA]]="Pagamento de Cartão","Fatura",""))</f>
        <v/>
      </c>
      <c r="W100">
        <f>IF(LO[[#This Row],[Tipo]]="Receita",LO[[#This Row],[Valor]],IF(LO[[#This Row],[Tipo]]="Despesa",-LO[[#This Row],[Valor]],0))</f>
        <v>-150</v>
      </c>
    </row>
    <row r="101" spans="2:23" hidden="1" x14ac:dyDescent="0.3">
      <c r="B101" s="11">
        <v>46174</v>
      </c>
      <c r="C101" s="11">
        <v>46204</v>
      </c>
      <c r="D101" t="s">
        <v>293</v>
      </c>
      <c r="E101" s="72">
        <v>136</v>
      </c>
      <c r="F101" t="s">
        <v>284</v>
      </c>
      <c r="G101" t="s">
        <v>280</v>
      </c>
      <c r="H101" t="s">
        <v>313</v>
      </c>
      <c r="J101" t="str">
        <f>IFERROR(VLOOKUP(LO[[#This Row],[Descrição]],TabCategoria[],2,FALSE),"")</f>
        <v>NÃO OPERACIONAL</v>
      </c>
      <c r="K101" t="str">
        <f>IFERROR(VLOOKUP(LO[[#This Row],[Descrição]],TabCategoria[],3,FALSE),"")</f>
        <v>DESPESA</v>
      </c>
      <c r="L101" t="str">
        <f>IFERROR(VLOOKUP(LO[[#This Row],[Descrição]],TabCategoria[],4,FALSE),"")</f>
        <v>Lazer</v>
      </c>
      <c r="M101" t="str">
        <f>IFERROR(VLOOKUP(LO[[#This Row],[Descrição]],TabCategoria[],5,FALSE),"")</f>
        <v>PROCESSADOR</v>
      </c>
      <c r="N101">
        <f>SUMIFS(TabCategoria[Meta Mês],TabCategoria[Categoria],LO[[#This Row],[CATEGORIA]])</f>
        <v>0</v>
      </c>
      <c r="O101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10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1" t="str">
        <f>IFERROR(INDEX(TabInst[TIPO],MATCH(LO[[#This Row],[INSTITUIÇÃO]],TabInst[DESCRIÇÃO],0)),"")</f>
        <v/>
      </c>
      <c r="R101" t="str">
        <f>IFERROR(INDEX(TabInst[INSTITUIÇÃO],MATCH(LO[[#This Row],[INSTITUIÇÃO]],TabInst[DESCRIÇÃO],0)),"")</f>
        <v/>
      </c>
      <c r="S101" t="str">
        <f>PROPER(TEXT(LO[[#This Row],[DT Venc]],"MMM"))</f>
        <v>Jul</v>
      </c>
      <c r="T101">
        <f>YEAR(LO[[#This Row],[DT Venc]])</f>
        <v>2026</v>
      </c>
      <c r="U101" t="str">
        <f>IFERROR(VLOOKUP(LO[[#This Row],[CATEGORIA]],TabCategoria[],2,FALSE),"")</f>
        <v/>
      </c>
      <c r="V101" t="str">
        <f>IF(LO[[#This Row],[CONTA/CARTAO]]="Cartão","Cartão",IF(LO[[#This Row],[CATEGORIA]]="Pagamento de Cartão","Fatura",""))</f>
        <v/>
      </c>
      <c r="W101">
        <f>IF(LO[[#This Row],[Tipo]]="Receita",LO[[#This Row],[Valor]],IF(LO[[#This Row],[Tipo]]="Despesa",-LO[[#This Row],[Valor]],0))</f>
        <v>-136</v>
      </c>
    </row>
    <row r="102" spans="2:23" hidden="1" x14ac:dyDescent="0.3">
      <c r="B102" s="11">
        <v>46174</v>
      </c>
      <c r="C102" s="11">
        <v>46204</v>
      </c>
      <c r="D102" t="s">
        <v>294</v>
      </c>
      <c r="E102" s="72">
        <v>66.900000000000006</v>
      </c>
      <c r="F102" t="s">
        <v>284</v>
      </c>
      <c r="G102" t="s">
        <v>280</v>
      </c>
      <c r="H102" t="s">
        <v>313</v>
      </c>
      <c r="J102" t="str">
        <f>IFERROR(VLOOKUP(LO[[#This Row],[Descrição]],TabCategoria[],2,FALSE),"")</f>
        <v>NÃO OPERACIONAL</v>
      </c>
      <c r="K102" t="str">
        <f>IFERROR(VLOOKUP(LO[[#This Row],[Descrição]],TabCategoria[],3,FALSE),"")</f>
        <v>DESPESA</v>
      </c>
      <c r="L102" t="str">
        <f>IFERROR(VLOOKUP(LO[[#This Row],[Descrição]],TabCategoria[],4,FALSE),"")</f>
        <v>Lazer</v>
      </c>
      <c r="M102" t="str">
        <f>IFERROR(VLOOKUP(LO[[#This Row],[Descrição]],TabCategoria[],5,FALSE),"")</f>
        <v>APPLE</v>
      </c>
      <c r="N102">
        <f>SUMIFS(TabCategoria[Meta Mês],TabCategoria[Categoria],LO[[#This Row],[CATEGORIA]])</f>
        <v>0</v>
      </c>
      <c r="O102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2" t="str">
        <f>IFERROR(INDEX(TabInst[TIPO],MATCH(LO[[#This Row],[INSTITUIÇÃO]],TabInst[DESCRIÇÃO],0)),"")</f>
        <v/>
      </c>
      <c r="R102" t="str">
        <f>IFERROR(INDEX(TabInst[INSTITUIÇÃO],MATCH(LO[[#This Row],[INSTITUIÇÃO]],TabInst[DESCRIÇÃO],0)),"")</f>
        <v/>
      </c>
      <c r="S102" t="str">
        <f>PROPER(TEXT(LO[[#This Row],[DT Venc]],"MMM"))</f>
        <v>Jul</v>
      </c>
      <c r="T102">
        <f>YEAR(LO[[#This Row],[DT Venc]])</f>
        <v>2026</v>
      </c>
      <c r="U102" t="str">
        <f>IFERROR(VLOOKUP(LO[[#This Row],[CATEGORIA]],TabCategoria[],2,FALSE),"")</f>
        <v/>
      </c>
      <c r="V102" t="str">
        <f>IF(LO[[#This Row],[CONTA/CARTAO]]="Cartão","Cartão",IF(LO[[#This Row],[CATEGORIA]]="Pagamento de Cartão","Fatura",""))</f>
        <v/>
      </c>
      <c r="W102">
        <f>IF(LO[[#This Row],[Tipo]]="Receita",LO[[#This Row],[Valor]],IF(LO[[#This Row],[Tipo]]="Despesa",-LO[[#This Row],[Valor]],0))</f>
        <v>-66.900000000000006</v>
      </c>
    </row>
    <row r="103" spans="2:23" hidden="1" x14ac:dyDescent="0.3">
      <c r="B103" s="11">
        <v>46174</v>
      </c>
      <c r="C103" s="11">
        <v>46204</v>
      </c>
      <c r="D103" t="s">
        <v>292</v>
      </c>
      <c r="E103" s="13">
        <v>120</v>
      </c>
      <c r="F103" t="s">
        <v>284</v>
      </c>
      <c r="G103" t="s">
        <v>280</v>
      </c>
      <c r="H103" t="s">
        <v>313</v>
      </c>
      <c r="J103" t="str">
        <f>IFERROR(VLOOKUP(LO[[#This Row],[Descrição]],TabCategoria[],2,FALSE),"")</f>
        <v>NÃO OPERACIONAL</v>
      </c>
      <c r="K103" t="str">
        <f>IFERROR(VLOOKUP(LO[[#This Row],[Descrição]],TabCategoria[],3,FALSE),"")</f>
        <v>DESPESA</v>
      </c>
      <c r="L103" t="str">
        <f>IFERROR(VLOOKUP(LO[[#This Row],[Descrição]],TabCategoria[],4,FALSE),"")</f>
        <v>Lazer</v>
      </c>
      <c r="M103" t="str">
        <f>IFERROR(VLOOKUP(LO[[#This Row],[Descrição]],TabCategoria[],5,FALSE),"")</f>
        <v>PLACA MAE</v>
      </c>
      <c r="N103">
        <f>SUMIFS(TabCategoria[Meta Mês],TabCategoria[Categoria],LO[[#This Row],[CATEGORIA]])</f>
        <v>0</v>
      </c>
      <c r="O103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10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3" t="str">
        <f>IFERROR(INDEX(TabInst[TIPO],MATCH(LO[[#This Row],[INSTITUIÇÃO]],TabInst[DESCRIÇÃO],0)),"")</f>
        <v/>
      </c>
      <c r="R103" t="str">
        <f>IFERROR(INDEX(TabInst[INSTITUIÇÃO],MATCH(LO[[#This Row],[INSTITUIÇÃO]],TabInst[DESCRIÇÃO],0)),"")</f>
        <v/>
      </c>
      <c r="S103" t="str">
        <f>PROPER(TEXT(LO[[#This Row],[DT Venc]],"MMM"))</f>
        <v>Jul</v>
      </c>
      <c r="T103">
        <f>YEAR(LO[[#This Row],[DT Venc]])</f>
        <v>2026</v>
      </c>
      <c r="U103" t="str">
        <f>IFERROR(VLOOKUP(LO[[#This Row],[CATEGORIA]],TabCategoria[],2,FALSE),"")</f>
        <v/>
      </c>
      <c r="V103" t="str">
        <f>IF(LO[[#This Row],[CONTA/CARTAO]]="Cartão","Cartão",IF(LO[[#This Row],[CATEGORIA]]="Pagamento de Cartão","Fatura",""))</f>
        <v/>
      </c>
      <c r="W103">
        <f>IF(LO[[#This Row],[Tipo]]="Receita",LO[[#This Row],[Valor]],IF(LO[[#This Row],[Tipo]]="Despesa",-LO[[#This Row],[Valor]],0))</f>
        <v>-120</v>
      </c>
    </row>
    <row r="104" spans="2:23" hidden="1" x14ac:dyDescent="0.3">
      <c r="B104" s="11">
        <v>46113</v>
      </c>
      <c r="C104" s="11">
        <v>46212</v>
      </c>
      <c r="D104" t="s">
        <v>342</v>
      </c>
      <c r="E104" s="28">
        <v>90</v>
      </c>
      <c r="F104" t="s">
        <v>284</v>
      </c>
      <c r="G104" t="s">
        <v>280</v>
      </c>
      <c r="H104" t="s">
        <v>313</v>
      </c>
      <c r="I104" t="s">
        <v>345</v>
      </c>
      <c r="J104" t="str">
        <f>IFERROR(VLOOKUP(LO[[#This Row],[Descrição]],TabCategoria[],2,FALSE),"")</f>
        <v>OPERACIONAL</v>
      </c>
      <c r="K104" t="str">
        <f>IFERROR(VLOOKUP(LO[[#This Row],[Descrição]],TabCategoria[],3,FALSE),"")</f>
        <v>DESPESA</v>
      </c>
      <c r="L104" t="str">
        <f>IFERROR(VLOOKUP(LO[[#This Row],[Descrição]],TabCategoria[],4,FALSE),"")</f>
        <v>Lazer</v>
      </c>
      <c r="M104" t="str">
        <f>IFERROR(VLOOKUP(LO[[#This Row],[Descrição]],TabCategoria[],5,FALSE),"")</f>
        <v>Outros Lazer</v>
      </c>
      <c r="N104">
        <f>SUMIFS(TabCategoria[Meta Mês],TabCategoria[Categoria],LO[[#This Row],[CATEGORIA]])</f>
        <v>0</v>
      </c>
      <c r="O104" s="68">
        <f>SUMIFS(LO[Valor],LO[CATEGORIA],LO[[#This Row],[CATEGORIA]],LO[ANO],LO[[#This Row],[ANO]],LO[MÊS],LO[[#This Row],[MÊS]])
/COUNTIFS(LO[CATEGORIA],LO[[#This Row],[CATEGORIA]],LO[ANO],LO[[#This Row],[ANO]],LO[MÊS],LO[[#This Row],[MÊS]])</f>
        <v>112.21249999999999</v>
      </c>
      <c r="P10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4" t="str">
        <f>IFERROR(INDEX(TabInst[TIPO],MATCH(LO[[#This Row],[INSTITUIÇÃO]],TabInst[DESCRIÇÃO],0)),"")</f>
        <v/>
      </c>
      <c r="R104" t="str">
        <f>IFERROR(INDEX(TabInst[INSTITUIÇÃO],MATCH(LO[[#This Row],[INSTITUIÇÃO]],TabInst[DESCRIÇÃO],0)),"")</f>
        <v/>
      </c>
      <c r="S104" t="str">
        <f>PROPER(TEXT(LO[[#This Row],[DT Venc]],"MMM"))</f>
        <v>Jul</v>
      </c>
      <c r="T104">
        <f>YEAR(LO[[#This Row],[DT Venc]])</f>
        <v>2026</v>
      </c>
      <c r="U104" t="str">
        <f>IFERROR(VLOOKUP(LO[[#This Row],[CATEGORIA]],TabCategoria[],2,FALSE),"")</f>
        <v/>
      </c>
      <c r="V104" t="str">
        <f>IF(LO[[#This Row],[CONTA/CARTAO]]="Cartão","Cartão",IF(LO[[#This Row],[CATEGORIA]]="Pagamento de Cartão","Fatura",""))</f>
        <v/>
      </c>
      <c r="W104">
        <f>IF(LO[[#This Row],[Tipo]]="Receita",LO[[#This Row],[Valor]],IF(LO[[#This Row],[Tipo]]="Despesa",-LO[[#This Row],[Valor]],0))</f>
        <v>-90</v>
      </c>
    </row>
    <row r="105" spans="2:23" hidden="1" x14ac:dyDescent="0.3">
      <c r="B105" s="11">
        <v>46125</v>
      </c>
      <c r="C105" s="11">
        <v>46213</v>
      </c>
      <c r="D105" t="s">
        <v>326</v>
      </c>
      <c r="E105" s="28">
        <v>391</v>
      </c>
      <c r="F105" t="s">
        <v>353</v>
      </c>
      <c r="G105" t="s">
        <v>354</v>
      </c>
      <c r="H105" t="s">
        <v>313</v>
      </c>
      <c r="I105" t="s">
        <v>352</v>
      </c>
      <c r="J105" t="str">
        <f>IFERROR(VLOOKUP(LO[[#This Row],[Descrição]],TabCategoria[],2,FALSE),"")</f>
        <v>NÃO OPERACIONAL</v>
      </c>
      <c r="K105" t="str">
        <f>IFERROR(VLOOKUP(LO[[#This Row],[Descrição]],TabCategoria[],3,FALSE),"")</f>
        <v>DESPESA</v>
      </c>
      <c r="L105" t="str">
        <f>IFERROR(VLOOKUP(LO[[#This Row],[Descrição]],TabCategoria[],4,FALSE),"")</f>
        <v>Empréstimo</v>
      </c>
      <c r="M105" t="str">
        <f>IFERROR(VLOOKUP(LO[[#This Row],[Descrição]],TabCategoria[],5,FALSE),"")</f>
        <v>Empréstimo Pessoal - Banco</v>
      </c>
      <c r="N105">
        <f>SUMIFS(TabCategoria[Meta Mês],TabCategoria[Categoria],LO[[#This Row],[CATEGORIA]])</f>
        <v>0</v>
      </c>
      <c r="O105" s="68">
        <f>SUMIFS(LO[Valor],LO[CATEGORIA],LO[[#This Row],[CATEGORIA]],LO[ANO],LO[[#This Row],[ANO]],LO[MÊS],LO[[#This Row],[MÊS]])
/COUNTIFS(LO[CATEGORIA],LO[[#This Row],[CATEGORIA]],LO[ANO],LO[[#This Row],[ANO]],LO[MÊS],LO[[#This Row],[MÊS]])</f>
        <v>332.42</v>
      </c>
      <c r="P10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5" t="str">
        <f>IFERROR(INDEX(TabInst[TIPO],MATCH(LO[[#This Row],[INSTITUIÇÃO]],TabInst[DESCRIÇÃO],0)),"")</f>
        <v/>
      </c>
      <c r="R105" t="str">
        <f>IFERROR(INDEX(TabInst[INSTITUIÇÃO],MATCH(LO[[#This Row],[INSTITUIÇÃO]],TabInst[DESCRIÇÃO],0)),"")</f>
        <v/>
      </c>
      <c r="S105" t="str">
        <f>PROPER(TEXT(LO[[#This Row],[DT Venc]],"MMM"))</f>
        <v>Jul</v>
      </c>
      <c r="T105">
        <f>YEAR(LO[[#This Row],[DT Venc]])</f>
        <v>2026</v>
      </c>
      <c r="U105" t="str">
        <f>IFERROR(VLOOKUP(LO[[#This Row],[CATEGORIA]],TabCategoria[],2,FALSE),"")</f>
        <v/>
      </c>
      <c r="V105" t="str">
        <f>IF(LO[[#This Row],[CONTA/CARTAO]]="Cartão","Cartão",IF(LO[[#This Row],[CATEGORIA]]="Pagamento de Cartão","Fatura",""))</f>
        <v/>
      </c>
      <c r="W105">
        <f>IF(LO[[#This Row],[Tipo]]="Receita",LO[[#This Row],[Valor]],IF(LO[[#This Row],[Tipo]]="Despesa",-LO[[#This Row],[Valor]],0))</f>
        <v>-391</v>
      </c>
    </row>
    <row r="106" spans="2:23" hidden="1" x14ac:dyDescent="0.3">
      <c r="B106" s="11">
        <v>46204</v>
      </c>
      <c r="C106" s="11">
        <v>46235</v>
      </c>
      <c r="D106" t="s">
        <v>302</v>
      </c>
      <c r="E106" s="28">
        <v>2927</v>
      </c>
      <c r="F106" t="s">
        <v>284</v>
      </c>
      <c r="G106" t="s">
        <v>337</v>
      </c>
      <c r="H106" t="s">
        <v>313</v>
      </c>
      <c r="J106" t="str">
        <f>IFERROR(VLOOKUP(LO[[#This Row],[Descrição]],TabCategoria[],2,FALSE),"")</f>
        <v>OPERACIONAL</v>
      </c>
      <c r="K106" t="str">
        <f>IFERROR(VLOOKUP(LO[[#This Row],[Descrição]],TabCategoria[],3,FALSE),"")</f>
        <v>RECEITA</v>
      </c>
      <c r="L106" t="str">
        <f>IFERROR(VLOOKUP(LO[[#This Row],[Descrição]],TabCategoria[],4,FALSE),"")</f>
        <v>Renda Principal</v>
      </c>
      <c r="M106" t="str">
        <f>IFERROR(VLOOKUP(LO[[#This Row],[Descrição]],TabCategoria[],5,FALSE),"")</f>
        <v>Salário Principal</v>
      </c>
      <c r="N106">
        <f>SUMIFS(TabCategoria[Meta Mês],TabCategoria[Categoria],LO[[#This Row],[CATEGORIA]])</f>
        <v>0</v>
      </c>
      <c r="O106" s="68">
        <f>SUMIFS(LO[Valor],LO[CATEGORIA],LO[[#This Row],[CATEGORIA]],LO[ANO],LO[[#This Row],[ANO]],LO[MÊS],LO[[#This Row],[MÊS]])
/COUNTIFS(LO[CATEGORIA],LO[[#This Row],[CATEGORIA]],LO[ANO],LO[[#This Row],[ANO]],LO[MÊS],LO[[#This Row],[MÊS]])</f>
        <v>2927</v>
      </c>
      <c r="P10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6" t="str">
        <f>IFERROR(INDEX(TabInst[TIPO],MATCH(LO[[#This Row],[INSTITUIÇÃO]],TabInst[DESCRIÇÃO],0)),"")</f>
        <v/>
      </c>
      <c r="R106" t="str">
        <f>IFERROR(INDEX(TabInst[INSTITUIÇÃO],MATCH(LO[[#This Row],[INSTITUIÇÃO]],TabInst[DESCRIÇÃO],0)),"")</f>
        <v/>
      </c>
      <c r="S106" t="str">
        <f>PROPER(TEXT(LO[[#This Row],[DT Venc]],"MMM"))</f>
        <v>Aug</v>
      </c>
      <c r="T106">
        <f>YEAR(LO[[#This Row],[DT Venc]])</f>
        <v>2026</v>
      </c>
      <c r="U106" t="str">
        <f>IFERROR(VLOOKUP(LO[[#This Row],[CATEGORIA]],TabCategoria[],2,FALSE),"")</f>
        <v/>
      </c>
      <c r="V106" t="str">
        <f>IF(LO[[#This Row],[CONTA/CARTAO]]="Cartão","Cartão",IF(LO[[#This Row],[CATEGORIA]]="Pagamento de Cartão","Fatura",""))</f>
        <v/>
      </c>
      <c r="W106">
        <f>IF(LO[[#This Row],[Tipo]]="Receita",LO[[#This Row],[Valor]],IF(LO[[#This Row],[Tipo]]="Despesa",-LO[[#This Row],[Valor]],0))</f>
        <v>2927</v>
      </c>
    </row>
    <row r="107" spans="2:23" hidden="1" x14ac:dyDescent="0.3">
      <c r="B107" s="11">
        <v>46204</v>
      </c>
      <c r="C107" s="11">
        <v>46235</v>
      </c>
      <c r="D107" t="s">
        <v>326</v>
      </c>
      <c r="E107" s="28">
        <v>188.68</v>
      </c>
      <c r="F107" t="s">
        <v>284</v>
      </c>
      <c r="G107" t="s">
        <v>282</v>
      </c>
      <c r="H107" t="s">
        <v>313</v>
      </c>
      <c r="J107" t="str">
        <f>IFERROR(VLOOKUP(LO[[#This Row],[Descrição]],TabCategoria[],2,FALSE),"")</f>
        <v>NÃO OPERACIONAL</v>
      </c>
      <c r="K107" t="str">
        <f>IFERROR(VLOOKUP(LO[[#This Row],[Descrição]],TabCategoria[],3,FALSE),"")</f>
        <v>DESPESA</v>
      </c>
      <c r="L107" t="str">
        <f>IFERROR(VLOOKUP(LO[[#This Row],[Descrição]],TabCategoria[],4,FALSE),"")</f>
        <v>Empréstimo</v>
      </c>
      <c r="M107" t="str">
        <f>IFERROR(VLOOKUP(LO[[#This Row],[Descrição]],TabCategoria[],5,FALSE),"")</f>
        <v>Empréstimo Pessoal - Banco</v>
      </c>
      <c r="N107">
        <f>SUMIFS(TabCategoria[Meta Mês],TabCategoria[Categoria],LO[[#This Row],[CATEGORIA]])</f>
        <v>0</v>
      </c>
      <c r="O107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0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7" t="str">
        <f>IFERROR(INDEX(TabInst[TIPO],MATCH(LO[[#This Row],[INSTITUIÇÃO]],TabInst[DESCRIÇÃO],0)),"")</f>
        <v/>
      </c>
      <c r="R107" t="str">
        <f>IFERROR(INDEX(TabInst[INSTITUIÇÃO],MATCH(LO[[#This Row],[INSTITUIÇÃO]],TabInst[DESCRIÇÃO],0)),"")</f>
        <v/>
      </c>
      <c r="S107" t="str">
        <f>PROPER(TEXT(LO[[#This Row],[DT Venc]],"MMM"))</f>
        <v>Aug</v>
      </c>
      <c r="T107">
        <f>YEAR(LO[[#This Row],[DT Venc]])</f>
        <v>2026</v>
      </c>
      <c r="U107" t="str">
        <f>IFERROR(VLOOKUP(LO[[#This Row],[CATEGORIA]],TabCategoria[],2,FALSE),"")</f>
        <v/>
      </c>
      <c r="V107" t="str">
        <f>IF(LO[[#This Row],[CONTA/CARTAO]]="Cartão","Cartão",IF(LO[[#This Row],[CATEGORIA]]="Pagamento de Cartão","Fatura",""))</f>
        <v/>
      </c>
      <c r="W107">
        <f>IF(LO[[#This Row],[Tipo]]="Receita",LO[[#This Row],[Valor]],IF(LO[[#This Row],[Tipo]]="Despesa",-LO[[#This Row],[Valor]],0))</f>
        <v>-188.68</v>
      </c>
    </row>
    <row r="108" spans="2:23" hidden="1" x14ac:dyDescent="0.3">
      <c r="B108" s="11">
        <v>46204</v>
      </c>
      <c r="C108" s="11">
        <v>46235</v>
      </c>
      <c r="D108" t="s">
        <v>318</v>
      </c>
      <c r="E108" s="28">
        <v>250</v>
      </c>
      <c r="F108" t="s">
        <v>284</v>
      </c>
      <c r="G108" t="s">
        <v>280</v>
      </c>
      <c r="H108" t="s">
        <v>313</v>
      </c>
      <c r="J108" t="str">
        <f>IFERROR(VLOOKUP(LO[[#This Row],[Descrição]],TabCategoria[],2,FALSE),"")</f>
        <v>OPERACIONAL</v>
      </c>
      <c r="K108" t="str">
        <f>IFERROR(VLOOKUP(LO[[#This Row],[Descrição]],TabCategoria[],3,FALSE),"")</f>
        <v>DESPESA</v>
      </c>
      <c r="L108" t="str">
        <f>IFERROR(VLOOKUP(LO[[#This Row],[Descrição]],TabCategoria[],4,FALSE),"")</f>
        <v>Moradia</v>
      </c>
      <c r="M108" t="str">
        <f>IFERROR(VLOOKUP(LO[[#This Row],[Descrição]],TabCategoria[],5,FALSE),"")</f>
        <v>Água</v>
      </c>
      <c r="N108">
        <f>SUMIFS(TabCategoria[Meta Mês],TabCategoria[Categoria],LO[[#This Row],[CATEGORIA]])</f>
        <v>0</v>
      </c>
      <c r="O108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10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8" t="str">
        <f>IFERROR(INDEX(TabInst[TIPO],MATCH(LO[[#This Row],[INSTITUIÇÃO]],TabInst[DESCRIÇÃO],0)),"")</f>
        <v/>
      </c>
      <c r="R108" t="str">
        <f>IFERROR(INDEX(TabInst[INSTITUIÇÃO],MATCH(LO[[#This Row],[INSTITUIÇÃO]],TabInst[DESCRIÇÃO],0)),"")</f>
        <v/>
      </c>
      <c r="S108" t="str">
        <f>PROPER(TEXT(LO[[#This Row],[DT Venc]],"MMM"))</f>
        <v>Aug</v>
      </c>
      <c r="T108">
        <f>YEAR(LO[[#This Row],[DT Venc]])</f>
        <v>2026</v>
      </c>
      <c r="U108" t="str">
        <f>IFERROR(VLOOKUP(LO[[#This Row],[CATEGORIA]],TabCategoria[],2,FALSE),"")</f>
        <v/>
      </c>
      <c r="V108" t="str">
        <f>IF(LO[[#This Row],[CONTA/CARTAO]]="Cartão","Cartão",IF(LO[[#This Row],[CATEGORIA]]="Pagamento de Cartão","Fatura",""))</f>
        <v/>
      </c>
      <c r="W108">
        <f>IF(LO[[#This Row],[Tipo]]="Receita",LO[[#This Row],[Valor]],IF(LO[[#This Row],[Tipo]]="Despesa",-LO[[#This Row],[Valor]],0))</f>
        <v>-250</v>
      </c>
    </row>
    <row r="109" spans="2:23" hidden="1" x14ac:dyDescent="0.3">
      <c r="B109" s="11">
        <v>46204</v>
      </c>
      <c r="C109" s="11">
        <v>46235</v>
      </c>
      <c r="D109" t="s">
        <v>319</v>
      </c>
      <c r="E109" s="28">
        <v>150</v>
      </c>
      <c r="F109" t="s">
        <v>284</v>
      </c>
      <c r="G109" t="s">
        <v>280</v>
      </c>
      <c r="H109" t="s">
        <v>313</v>
      </c>
      <c r="J109" t="str">
        <f>IFERROR(VLOOKUP(LO[[#This Row],[Descrição]],TabCategoria[],2,FALSE),"")</f>
        <v>OPERACIONAL</v>
      </c>
      <c r="K109" t="str">
        <f>IFERROR(VLOOKUP(LO[[#This Row],[Descrição]],TabCategoria[],3,FALSE),"")</f>
        <v>DESPESA</v>
      </c>
      <c r="L109" t="str">
        <f>IFERROR(VLOOKUP(LO[[#This Row],[Descrição]],TabCategoria[],4,FALSE),"")</f>
        <v>Transporte</v>
      </c>
      <c r="M109" t="str">
        <f>IFERROR(VLOOKUP(LO[[#This Row],[Descrição]],TabCategoria[],5,FALSE),"")</f>
        <v>Combustível</v>
      </c>
      <c r="N109">
        <f>SUMIFS(TabCategoria[Meta Mês],TabCategoria[Categoria],LO[[#This Row],[CATEGORIA]])</f>
        <v>0</v>
      </c>
      <c r="O109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10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09" t="str">
        <f>IFERROR(INDEX(TabInst[TIPO],MATCH(LO[[#This Row],[INSTITUIÇÃO]],TabInst[DESCRIÇÃO],0)),"")</f>
        <v/>
      </c>
      <c r="R109" t="str">
        <f>IFERROR(INDEX(TabInst[INSTITUIÇÃO],MATCH(LO[[#This Row],[INSTITUIÇÃO]],TabInst[DESCRIÇÃO],0)),"")</f>
        <v/>
      </c>
      <c r="S109" t="str">
        <f>PROPER(TEXT(LO[[#This Row],[DT Venc]],"MMM"))</f>
        <v>Aug</v>
      </c>
      <c r="T109">
        <f>YEAR(LO[[#This Row],[DT Venc]])</f>
        <v>2026</v>
      </c>
      <c r="U109" t="str">
        <f>IFERROR(VLOOKUP(LO[[#This Row],[CATEGORIA]],TabCategoria[],2,FALSE),"")</f>
        <v/>
      </c>
      <c r="V109" t="str">
        <f>IF(LO[[#This Row],[CONTA/CARTAO]]="Cartão","Cartão",IF(LO[[#This Row],[CATEGORIA]]="Pagamento de Cartão","Fatura",""))</f>
        <v/>
      </c>
      <c r="W109">
        <f>IF(LO[[#This Row],[Tipo]]="Receita",LO[[#This Row],[Valor]],IF(LO[[#This Row],[Tipo]]="Despesa",-LO[[#This Row],[Valor]],0))</f>
        <v>-150</v>
      </c>
    </row>
    <row r="110" spans="2:23" hidden="1" x14ac:dyDescent="0.3">
      <c r="B110" s="11">
        <v>46204</v>
      </c>
      <c r="C110" s="11">
        <v>46235</v>
      </c>
      <c r="D110" t="s">
        <v>286</v>
      </c>
      <c r="E110" s="28">
        <v>45</v>
      </c>
      <c r="F110" t="s">
        <v>284</v>
      </c>
      <c r="G110" t="s">
        <v>281</v>
      </c>
      <c r="H110" t="s">
        <v>313</v>
      </c>
      <c r="J110" t="str">
        <f>IFERROR(VLOOKUP(LO[[#This Row],[Descrição]],TabCategoria[],2,FALSE),"")</f>
        <v>OPERACIONAL</v>
      </c>
      <c r="K110" t="str">
        <f>IFERROR(VLOOKUP(LO[[#This Row],[Descrição]],TabCategoria[],3,FALSE),"")</f>
        <v>DESPESA</v>
      </c>
      <c r="L110" t="str">
        <f>IFERROR(VLOOKUP(LO[[#This Row],[Descrição]],TabCategoria[],4,FALSE),"")</f>
        <v>Comunicação</v>
      </c>
      <c r="M110" t="str">
        <f>IFERROR(VLOOKUP(LO[[#This Row],[Descrição]],TabCategoria[],5,FALSE),"")</f>
        <v>Internet</v>
      </c>
      <c r="N110">
        <f>SUMIFS(TabCategoria[Meta Mês],TabCategoria[Categoria],LO[[#This Row],[CATEGORIA]])</f>
        <v>0</v>
      </c>
      <c r="O110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1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0" t="str">
        <f>IFERROR(INDEX(TabInst[TIPO],MATCH(LO[[#This Row],[INSTITUIÇÃO]],TabInst[DESCRIÇÃO],0)),"")</f>
        <v/>
      </c>
      <c r="R110" t="str">
        <f>IFERROR(INDEX(TabInst[INSTITUIÇÃO],MATCH(LO[[#This Row],[INSTITUIÇÃO]],TabInst[DESCRIÇÃO],0)),"")</f>
        <v/>
      </c>
      <c r="S110" t="str">
        <f>PROPER(TEXT(LO[[#This Row],[DT Venc]],"MMM"))</f>
        <v>Aug</v>
      </c>
      <c r="T110">
        <f>YEAR(LO[[#This Row],[DT Venc]])</f>
        <v>2026</v>
      </c>
      <c r="U110" t="str">
        <f>IFERROR(VLOOKUP(LO[[#This Row],[CATEGORIA]],TabCategoria[],2,FALSE),"")</f>
        <v/>
      </c>
      <c r="V110" t="str">
        <f>IF(LO[[#This Row],[CONTA/CARTAO]]="Cartão","Cartão",IF(LO[[#This Row],[CATEGORIA]]="Pagamento de Cartão","Fatura",""))</f>
        <v/>
      </c>
      <c r="W110">
        <f>IF(LO[[#This Row],[Tipo]]="Receita",LO[[#This Row],[Valor]],IF(LO[[#This Row],[Tipo]]="Despesa",-LO[[#This Row],[Valor]],0))</f>
        <v>-45</v>
      </c>
    </row>
    <row r="111" spans="2:23" hidden="1" x14ac:dyDescent="0.3">
      <c r="B111" s="11">
        <v>46204</v>
      </c>
      <c r="C111" s="11">
        <v>46235</v>
      </c>
      <c r="D111" t="s">
        <v>287</v>
      </c>
      <c r="E111" s="28">
        <v>137</v>
      </c>
      <c r="F111" t="s">
        <v>284</v>
      </c>
      <c r="G111" t="s">
        <v>281</v>
      </c>
      <c r="H111" t="s">
        <v>313</v>
      </c>
      <c r="J111" t="str">
        <f>IFERROR(VLOOKUP(LO[[#This Row],[Descrição]],TabCategoria[],2,FALSE),"")</f>
        <v>NÃO OPERACIONAL</v>
      </c>
      <c r="K111" t="str">
        <f>IFERROR(VLOOKUP(LO[[#This Row],[Descrição]],TabCategoria[],3,FALSE),"")</f>
        <v>DESPESA</v>
      </c>
      <c r="L111" t="str">
        <f>IFERROR(VLOOKUP(LO[[#This Row],[Descrição]],TabCategoria[],4,FALSE),"")</f>
        <v>Pessoais</v>
      </c>
      <c r="M111" t="str">
        <f>IFERROR(VLOOKUP(LO[[#This Row],[Descrição]],TabCategoria[],5,FALSE),"")</f>
        <v>INTERNET CELULAR</v>
      </c>
      <c r="N111">
        <f>SUMIFS(TabCategoria[Meta Mês],TabCategoria[Categoria],LO[[#This Row],[CATEGORIA]])</f>
        <v>0</v>
      </c>
      <c r="O111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11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1" t="str">
        <f>IFERROR(INDEX(TabInst[TIPO],MATCH(LO[[#This Row],[INSTITUIÇÃO]],TabInst[DESCRIÇÃO],0)),"")</f>
        <v/>
      </c>
      <c r="R111" t="str">
        <f>IFERROR(INDEX(TabInst[INSTITUIÇÃO],MATCH(LO[[#This Row],[INSTITUIÇÃO]],TabInst[DESCRIÇÃO],0)),"")</f>
        <v/>
      </c>
      <c r="S111" t="str">
        <f>PROPER(TEXT(LO[[#This Row],[DT Venc]],"MMM"))</f>
        <v>Aug</v>
      </c>
      <c r="T111">
        <f>YEAR(LO[[#This Row],[DT Venc]])</f>
        <v>2026</v>
      </c>
      <c r="U111" t="str">
        <f>IFERROR(VLOOKUP(LO[[#This Row],[CATEGORIA]],TabCategoria[],2,FALSE),"")</f>
        <v/>
      </c>
      <c r="V111" t="str">
        <f>IF(LO[[#This Row],[CONTA/CARTAO]]="Cartão","Cartão",IF(LO[[#This Row],[CATEGORIA]]="Pagamento de Cartão","Fatura",""))</f>
        <v/>
      </c>
      <c r="W111">
        <f>IF(LO[[#This Row],[Tipo]]="Receita",LO[[#This Row],[Valor]],IF(LO[[#This Row],[Tipo]]="Despesa",-LO[[#This Row],[Valor]],0))</f>
        <v>-137</v>
      </c>
    </row>
    <row r="112" spans="2:23" hidden="1" x14ac:dyDescent="0.3">
      <c r="B112" s="11">
        <v>46204</v>
      </c>
      <c r="C112" s="11">
        <v>46235</v>
      </c>
      <c r="D112" t="s">
        <v>288</v>
      </c>
      <c r="E112" s="28">
        <v>21</v>
      </c>
      <c r="F112" t="s">
        <v>284</v>
      </c>
      <c r="G112" t="s">
        <v>281</v>
      </c>
      <c r="H112" t="s">
        <v>313</v>
      </c>
      <c r="J112" t="str">
        <f>IFERROR(VLOOKUP(LO[[#This Row],[Descrição]],TabCategoria[],2,FALSE),"")</f>
        <v>OPERACIONAL</v>
      </c>
      <c r="K112" t="str">
        <f>IFERROR(VLOOKUP(LO[[#This Row],[Descrição]],TabCategoria[],3,FALSE),"")</f>
        <v>DESPESA</v>
      </c>
      <c r="L112" t="str">
        <f>IFERROR(VLOOKUP(LO[[#This Row],[Descrição]],TabCategoria[],4,FALSE),"")</f>
        <v>Comunicação</v>
      </c>
      <c r="M112" t="str">
        <f>IFERROR(VLOOKUP(LO[[#This Row],[Descrição]],TabCategoria[],5,FALSE),"")</f>
        <v>Apps (Netflix, Spotify, Skype, etc)</v>
      </c>
      <c r="N112">
        <f>SUMIFS(TabCategoria[Meta Mês],TabCategoria[Categoria],LO[[#This Row],[CATEGORIA]])</f>
        <v>0</v>
      </c>
      <c r="O112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1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2" t="str">
        <f>IFERROR(INDEX(TabInst[TIPO],MATCH(LO[[#This Row],[INSTITUIÇÃO]],TabInst[DESCRIÇÃO],0)),"")</f>
        <v/>
      </c>
      <c r="R112" t="str">
        <f>IFERROR(INDEX(TabInst[INSTITUIÇÃO],MATCH(LO[[#This Row],[INSTITUIÇÃO]],TabInst[DESCRIÇÃO],0)),"")</f>
        <v/>
      </c>
      <c r="S112" t="str">
        <f>PROPER(TEXT(LO[[#This Row],[DT Venc]],"MMM"))</f>
        <v>Aug</v>
      </c>
      <c r="T112">
        <f>YEAR(LO[[#This Row],[DT Venc]])</f>
        <v>2026</v>
      </c>
      <c r="U112" t="str">
        <f>IFERROR(VLOOKUP(LO[[#This Row],[CATEGORIA]],TabCategoria[],2,FALSE),"")</f>
        <v/>
      </c>
      <c r="V112" t="str">
        <f>IF(LO[[#This Row],[CONTA/CARTAO]]="Cartão","Cartão",IF(LO[[#This Row],[CATEGORIA]]="Pagamento de Cartão","Fatura",""))</f>
        <v/>
      </c>
      <c r="W112">
        <f>IF(LO[[#This Row],[Tipo]]="Receita",LO[[#This Row],[Valor]],IF(LO[[#This Row],[Tipo]]="Despesa",-LO[[#This Row],[Valor]],0))</f>
        <v>-21</v>
      </c>
    </row>
    <row r="113" spans="2:23" hidden="1" x14ac:dyDescent="0.3">
      <c r="B113" s="11">
        <v>46204</v>
      </c>
      <c r="C113" s="11">
        <v>46235</v>
      </c>
      <c r="D113" t="s">
        <v>288</v>
      </c>
      <c r="E113" s="28">
        <v>24.9</v>
      </c>
      <c r="F113" t="s">
        <v>284</v>
      </c>
      <c r="G113" t="s">
        <v>281</v>
      </c>
      <c r="H113" t="s">
        <v>313</v>
      </c>
      <c r="J113" t="str">
        <f>IFERROR(VLOOKUP(LO[[#This Row],[Descrição]],TabCategoria[],2,FALSE),"")</f>
        <v>OPERACIONAL</v>
      </c>
      <c r="K113" t="str">
        <f>IFERROR(VLOOKUP(LO[[#This Row],[Descrição]],TabCategoria[],3,FALSE),"")</f>
        <v>DESPESA</v>
      </c>
      <c r="L113" t="str">
        <f>IFERROR(VLOOKUP(LO[[#This Row],[Descrição]],TabCategoria[],4,FALSE),"")</f>
        <v>Comunicação</v>
      </c>
      <c r="M113" t="str">
        <f>IFERROR(VLOOKUP(LO[[#This Row],[Descrição]],TabCategoria[],5,FALSE),"")</f>
        <v>Apps (Netflix, Spotify, Skype, etc)</v>
      </c>
      <c r="N113">
        <f>SUMIFS(TabCategoria[Meta Mês],TabCategoria[Categoria],LO[[#This Row],[CATEGORIA]])</f>
        <v>0</v>
      </c>
      <c r="O113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1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3" t="str">
        <f>IFERROR(INDEX(TabInst[TIPO],MATCH(LO[[#This Row],[INSTITUIÇÃO]],TabInst[DESCRIÇÃO],0)),"")</f>
        <v/>
      </c>
      <c r="R113" t="str">
        <f>IFERROR(INDEX(TabInst[INSTITUIÇÃO],MATCH(LO[[#This Row],[INSTITUIÇÃO]],TabInst[DESCRIÇÃO],0)),"")</f>
        <v/>
      </c>
      <c r="S113" t="str">
        <f>PROPER(TEXT(LO[[#This Row],[DT Venc]],"MMM"))</f>
        <v>Aug</v>
      </c>
      <c r="T113">
        <f>YEAR(LO[[#This Row],[DT Venc]])</f>
        <v>2026</v>
      </c>
      <c r="U113" t="str">
        <f>IFERROR(VLOOKUP(LO[[#This Row],[CATEGORIA]],TabCategoria[],2,FALSE),"")</f>
        <v/>
      </c>
      <c r="V113" t="str">
        <f>IF(LO[[#This Row],[CONTA/CARTAO]]="Cartão","Cartão",IF(LO[[#This Row],[CATEGORIA]]="Pagamento de Cartão","Fatura",""))</f>
        <v/>
      </c>
      <c r="W113">
        <f>IF(LO[[#This Row],[Tipo]]="Receita",LO[[#This Row],[Valor]],IF(LO[[#This Row],[Tipo]]="Despesa",-LO[[#This Row],[Valor]],0))</f>
        <v>-24.9</v>
      </c>
    </row>
    <row r="114" spans="2:23" hidden="1" x14ac:dyDescent="0.3">
      <c r="B114" s="11">
        <v>46204</v>
      </c>
      <c r="C114" s="11">
        <v>46235</v>
      </c>
      <c r="D114" t="s">
        <v>288</v>
      </c>
      <c r="E114" s="28">
        <v>35</v>
      </c>
      <c r="F114" t="s">
        <v>284</v>
      </c>
      <c r="G114" t="s">
        <v>281</v>
      </c>
      <c r="H114" t="s">
        <v>313</v>
      </c>
      <c r="J114" t="str">
        <f>IFERROR(VLOOKUP(LO[[#This Row],[Descrição]],TabCategoria[],2,FALSE),"")</f>
        <v>OPERACIONAL</v>
      </c>
      <c r="K114" t="str">
        <f>IFERROR(VLOOKUP(LO[[#This Row],[Descrição]],TabCategoria[],3,FALSE),"")</f>
        <v>DESPESA</v>
      </c>
      <c r="L114" t="str">
        <f>IFERROR(VLOOKUP(LO[[#This Row],[Descrição]],TabCategoria[],4,FALSE),"")</f>
        <v>Comunicação</v>
      </c>
      <c r="M114" t="str">
        <f>IFERROR(VLOOKUP(LO[[#This Row],[Descrição]],TabCategoria[],5,FALSE),"")</f>
        <v>Apps (Netflix, Spotify, Skype, etc)</v>
      </c>
      <c r="N114">
        <f>SUMIFS(TabCategoria[Meta Mês],TabCategoria[Categoria],LO[[#This Row],[CATEGORIA]])</f>
        <v>0</v>
      </c>
      <c r="O114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1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4" t="str">
        <f>IFERROR(INDEX(TabInst[TIPO],MATCH(LO[[#This Row],[INSTITUIÇÃO]],TabInst[DESCRIÇÃO],0)),"")</f>
        <v/>
      </c>
      <c r="R114" t="str">
        <f>IFERROR(INDEX(TabInst[INSTITUIÇÃO],MATCH(LO[[#This Row],[INSTITUIÇÃO]],TabInst[DESCRIÇÃO],0)),"")</f>
        <v/>
      </c>
      <c r="S114" t="str">
        <f>PROPER(TEXT(LO[[#This Row],[DT Venc]],"MMM"))</f>
        <v>Aug</v>
      </c>
      <c r="T114">
        <f>YEAR(LO[[#This Row],[DT Venc]])</f>
        <v>2026</v>
      </c>
      <c r="U114" t="str">
        <f>IFERROR(VLOOKUP(LO[[#This Row],[CATEGORIA]],TabCategoria[],2,FALSE),"")</f>
        <v/>
      </c>
      <c r="V114" t="str">
        <f>IF(LO[[#This Row],[CONTA/CARTAO]]="Cartão","Cartão",IF(LO[[#This Row],[CATEGORIA]]="Pagamento de Cartão","Fatura",""))</f>
        <v/>
      </c>
      <c r="W114">
        <f>IF(LO[[#This Row],[Tipo]]="Receita",LO[[#This Row],[Valor]],IF(LO[[#This Row],[Tipo]]="Despesa",-LO[[#This Row],[Valor]],0))</f>
        <v>-35</v>
      </c>
    </row>
    <row r="115" spans="2:23" hidden="1" x14ac:dyDescent="0.3">
      <c r="B115" s="11">
        <v>46204</v>
      </c>
      <c r="C115" s="11">
        <v>46235</v>
      </c>
      <c r="D115" t="s">
        <v>289</v>
      </c>
      <c r="E115" s="28">
        <v>217</v>
      </c>
      <c r="F115" t="s">
        <v>284</v>
      </c>
      <c r="G115" t="s">
        <v>280</v>
      </c>
      <c r="H115" t="s">
        <v>313</v>
      </c>
      <c r="J115" t="str">
        <f>IFERROR(VLOOKUP(LO[[#This Row],[Descrição]],TabCategoria[],2,FALSE),"")</f>
        <v>NÃO OPERACIONAL</v>
      </c>
      <c r="K115" t="str">
        <f>IFERROR(VLOOKUP(LO[[#This Row],[Descrição]],TabCategoria[],3,FALSE),"")</f>
        <v>DESPESA</v>
      </c>
      <c r="L115" t="str">
        <f>IFERROR(VLOOKUP(LO[[#This Row],[Descrição]],TabCategoria[],4,FALSE),"")</f>
        <v>Lazer</v>
      </c>
      <c r="M115" t="str">
        <f>IFERROR(VLOOKUP(LO[[#This Row],[Descrição]],TabCategoria[],5,FALSE),"")</f>
        <v>CELULAR</v>
      </c>
      <c r="N115">
        <f>SUMIFS(TabCategoria[Meta Mês],TabCategoria[Categoria],LO[[#This Row],[CATEGORIA]])</f>
        <v>0</v>
      </c>
      <c r="O115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1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5" t="str">
        <f>IFERROR(INDEX(TabInst[TIPO],MATCH(LO[[#This Row],[INSTITUIÇÃO]],TabInst[DESCRIÇÃO],0)),"")</f>
        <v/>
      </c>
      <c r="R115" t="str">
        <f>IFERROR(INDEX(TabInst[INSTITUIÇÃO],MATCH(LO[[#This Row],[INSTITUIÇÃO]],TabInst[DESCRIÇÃO],0)),"")</f>
        <v/>
      </c>
      <c r="S115" t="str">
        <f>PROPER(TEXT(LO[[#This Row],[DT Venc]],"MMM"))</f>
        <v>Aug</v>
      </c>
      <c r="T115">
        <f>YEAR(LO[[#This Row],[DT Venc]])</f>
        <v>2026</v>
      </c>
      <c r="U115" t="str">
        <f>IFERROR(VLOOKUP(LO[[#This Row],[CATEGORIA]],TabCategoria[],2,FALSE),"")</f>
        <v/>
      </c>
      <c r="V115" t="str">
        <f>IF(LO[[#This Row],[CONTA/CARTAO]]="Cartão","Cartão",IF(LO[[#This Row],[CATEGORIA]]="Pagamento de Cartão","Fatura",""))</f>
        <v/>
      </c>
      <c r="W115">
        <f>IF(LO[[#This Row],[Tipo]]="Receita",LO[[#This Row],[Valor]],IF(LO[[#This Row],[Tipo]]="Despesa",-LO[[#This Row],[Valor]],0))</f>
        <v>-217</v>
      </c>
    </row>
    <row r="116" spans="2:23" hidden="1" x14ac:dyDescent="0.3">
      <c r="B116" s="11">
        <v>46204</v>
      </c>
      <c r="C116" s="11">
        <v>46235</v>
      </c>
      <c r="D116" t="s">
        <v>290</v>
      </c>
      <c r="E116" s="28">
        <v>67.8</v>
      </c>
      <c r="F116" t="s">
        <v>284</v>
      </c>
      <c r="G116" t="s">
        <v>280</v>
      </c>
      <c r="H116" t="s">
        <v>313</v>
      </c>
      <c r="J116" t="str">
        <f>IFERROR(VLOOKUP(LO[[#This Row],[Descrição]],TabCategoria[],2,FALSE),"")</f>
        <v>NÃO OPERACIONAL</v>
      </c>
      <c r="K116" t="str">
        <f>IFERROR(VLOOKUP(LO[[#This Row],[Descrição]],TabCategoria[],3,FALSE),"")</f>
        <v>DESPESA</v>
      </c>
      <c r="L116" t="str">
        <f>IFERROR(VLOOKUP(LO[[#This Row],[Descrição]],TabCategoria[],4,FALSE),"")</f>
        <v>Lazer</v>
      </c>
      <c r="M116" t="str">
        <f>IFERROR(VLOOKUP(LO[[#This Row],[Descrição]],TabCategoria[],5,FALSE),"")</f>
        <v>FONTE, COOLER</v>
      </c>
      <c r="N116">
        <f>SUMIFS(TabCategoria[Meta Mês],TabCategoria[Categoria],LO[[#This Row],[CATEGORIA]])</f>
        <v>0</v>
      </c>
      <c r="O116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1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6" t="str">
        <f>IFERROR(INDEX(TabInst[TIPO],MATCH(LO[[#This Row],[INSTITUIÇÃO]],TabInst[DESCRIÇÃO],0)),"")</f>
        <v/>
      </c>
      <c r="R116" t="str">
        <f>IFERROR(INDEX(TabInst[INSTITUIÇÃO],MATCH(LO[[#This Row],[INSTITUIÇÃO]],TabInst[DESCRIÇÃO],0)),"")</f>
        <v/>
      </c>
      <c r="S116" t="str">
        <f>PROPER(TEXT(LO[[#This Row],[DT Venc]],"MMM"))</f>
        <v>Aug</v>
      </c>
      <c r="T116">
        <f>YEAR(LO[[#This Row],[DT Venc]])</f>
        <v>2026</v>
      </c>
      <c r="U116" t="str">
        <f>IFERROR(VLOOKUP(LO[[#This Row],[CATEGORIA]],TabCategoria[],2,FALSE),"")</f>
        <v/>
      </c>
      <c r="V116" t="str">
        <f>IF(LO[[#This Row],[CONTA/CARTAO]]="Cartão","Cartão",IF(LO[[#This Row],[CATEGORIA]]="Pagamento de Cartão","Fatura",""))</f>
        <v/>
      </c>
      <c r="W116">
        <f>IF(LO[[#This Row],[Tipo]]="Receita",LO[[#This Row],[Valor]],IF(LO[[#This Row],[Tipo]]="Despesa",-LO[[#This Row],[Valor]],0))</f>
        <v>-67.8</v>
      </c>
    </row>
    <row r="117" spans="2:23" hidden="1" x14ac:dyDescent="0.3">
      <c r="B117" s="11">
        <v>46204</v>
      </c>
      <c r="C117" s="11">
        <v>46235</v>
      </c>
      <c r="D117" t="s">
        <v>323</v>
      </c>
      <c r="E117" s="28">
        <v>154</v>
      </c>
      <c r="F117" t="s">
        <v>284</v>
      </c>
      <c r="G117" t="s">
        <v>281</v>
      </c>
      <c r="H117" t="s">
        <v>313</v>
      </c>
      <c r="J117" t="str">
        <f>IFERROR(VLOOKUP(LO[[#This Row],[Descrição]],TabCategoria[],2,FALSE),"")</f>
        <v>NÃO OPERACIONAL</v>
      </c>
      <c r="K117" t="str">
        <f>IFERROR(VLOOKUP(LO[[#This Row],[Descrição]],TabCategoria[],3,FALSE),"")</f>
        <v>DESPESA</v>
      </c>
      <c r="L117" t="str">
        <f>IFERROR(VLOOKUP(LO[[#This Row],[Descrição]],TabCategoria[],4,FALSE),"")</f>
        <v>Empréstimo</v>
      </c>
      <c r="M117" t="str">
        <f>IFERROR(VLOOKUP(LO[[#This Row],[Descrição]],TabCategoria[],5,FALSE),"")</f>
        <v>Parcelamento Cartão de Crédito</v>
      </c>
      <c r="N117">
        <f>SUMIFS(TabCategoria[Meta Mês],TabCategoria[Categoria],LO[[#This Row],[CATEGORIA]])</f>
        <v>0</v>
      </c>
      <c r="O117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1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7" t="str">
        <f>IFERROR(INDEX(TabInst[TIPO],MATCH(LO[[#This Row],[INSTITUIÇÃO]],TabInst[DESCRIÇÃO],0)),"")</f>
        <v/>
      </c>
      <c r="R117" t="str">
        <f>IFERROR(INDEX(TabInst[INSTITUIÇÃO],MATCH(LO[[#This Row],[INSTITUIÇÃO]],TabInst[DESCRIÇÃO],0)),"")</f>
        <v/>
      </c>
      <c r="S117" t="str">
        <f>PROPER(TEXT(LO[[#This Row],[DT Venc]],"MMM"))</f>
        <v>Aug</v>
      </c>
      <c r="T117">
        <f>YEAR(LO[[#This Row],[DT Venc]])</f>
        <v>2026</v>
      </c>
      <c r="U117" t="str">
        <f>IFERROR(VLOOKUP(LO[[#This Row],[CATEGORIA]],TabCategoria[],2,FALSE),"")</f>
        <v/>
      </c>
      <c r="V117" t="str">
        <f>IF(LO[[#This Row],[CONTA/CARTAO]]="Cartão","Cartão",IF(LO[[#This Row],[CATEGORIA]]="Pagamento de Cartão","Fatura",""))</f>
        <v/>
      </c>
      <c r="W117">
        <f>IF(LO[[#This Row],[Tipo]]="Receita",LO[[#This Row],[Valor]],IF(LO[[#This Row],[Tipo]]="Despesa",-LO[[#This Row],[Valor]],0))</f>
        <v>-154</v>
      </c>
    </row>
    <row r="118" spans="2:23" hidden="1" x14ac:dyDescent="0.3">
      <c r="B118" s="11">
        <v>46204</v>
      </c>
      <c r="C118" s="11">
        <v>46235</v>
      </c>
      <c r="D118" t="s">
        <v>291</v>
      </c>
      <c r="E118" s="28">
        <v>50</v>
      </c>
      <c r="F118" t="s">
        <v>284</v>
      </c>
      <c r="G118" t="s">
        <v>280</v>
      </c>
      <c r="H118" t="s">
        <v>313</v>
      </c>
      <c r="J118" t="str">
        <f>IFERROR(VLOOKUP(LO[[#This Row],[Descrição]],TabCategoria[],2,FALSE),"")</f>
        <v>NÃO OPERACIONAL</v>
      </c>
      <c r="K118" t="str">
        <f>IFERROR(VLOOKUP(LO[[#This Row],[Descrição]],TabCategoria[],3,FALSE),"")</f>
        <v>DESPESA</v>
      </c>
      <c r="L118" t="str">
        <f>IFERROR(VLOOKUP(LO[[#This Row],[Descrição]],TabCategoria[],4,FALSE),"")</f>
        <v>Lazer</v>
      </c>
      <c r="M118" t="str">
        <f>IFERROR(VLOOKUP(LO[[#This Row],[Descrição]],TabCategoria[],5,FALSE),"")</f>
        <v>CADEIRA</v>
      </c>
      <c r="N118">
        <f>SUMIFS(TabCategoria[Meta Mês],TabCategoria[Categoria],LO[[#This Row],[CATEGORIA]])</f>
        <v>0</v>
      </c>
      <c r="O118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1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8" t="str">
        <f>IFERROR(INDEX(TabInst[TIPO],MATCH(LO[[#This Row],[INSTITUIÇÃO]],TabInst[DESCRIÇÃO],0)),"")</f>
        <v/>
      </c>
      <c r="R118" t="str">
        <f>IFERROR(INDEX(TabInst[INSTITUIÇÃO],MATCH(LO[[#This Row],[INSTITUIÇÃO]],TabInst[DESCRIÇÃO],0)),"")</f>
        <v/>
      </c>
      <c r="S118" t="str">
        <f>PROPER(TEXT(LO[[#This Row],[DT Venc]],"MMM"))</f>
        <v>Aug</v>
      </c>
      <c r="T118">
        <f>YEAR(LO[[#This Row],[DT Venc]])</f>
        <v>2026</v>
      </c>
      <c r="U118" t="str">
        <f>IFERROR(VLOOKUP(LO[[#This Row],[CATEGORIA]],TabCategoria[],2,FALSE),"")</f>
        <v/>
      </c>
      <c r="V118" t="str">
        <f>IF(LO[[#This Row],[CONTA/CARTAO]]="Cartão","Cartão",IF(LO[[#This Row],[CATEGORIA]]="Pagamento de Cartão","Fatura",""))</f>
        <v/>
      </c>
      <c r="W118">
        <f>IF(LO[[#This Row],[Tipo]]="Receita",LO[[#This Row],[Valor]],IF(LO[[#This Row],[Tipo]]="Despesa",-LO[[#This Row],[Valor]],0))</f>
        <v>-50</v>
      </c>
    </row>
    <row r="119" spans="2:23" hidden="1" x14ac:dyDescent="0.3">
      <c r="B119" s="11">
        <v>46204</v>
      </c>
      <c r="C119" s="11">
        <v>46235</v>
      </c>
      <c r="D119" t="s">
        <v>292</v>
      </c>
      <c r="E119" s="28">
        <v>150</v>
      </c>
      <c r="F119" t="s">
        <v>284</v>
      </c>
      <c r="G119" t="s">
        <v>280</v>
      </c>
      <c r="H119" t="s">
        <v>313</v>
      </c>
      <c r="J119" t="str">
        <f>IFERROR(VLOOKUP(LO[[#This Row],[Descrição]],TabCategoria[],2,FALSE),"")</f>
        <v>NÃO OPERACIONAL</v>
      </c>
      <c r="K119" t="str">
        <f>IFERROR(VLOOKUP(LO[[#This Row],[Descrição]],TabCategoria[],3,FALSE),"")</f>
        <v>DESPESA</v>
      </c>
      <c r="L119" t="str">
        <f>IFERROR(VLOOKUP(LO[[#This Row],[Descrição]],TabCategoria[],4,FALSE),"")</f>
        <v>Lazer</v>
      </c>
      <c r="M119" t="str">
        <f>IFERROR(VLOOKUP(LO[[#This Row],[Descrição]],TabCategoria[],5,FALSE),"")</f>
        <v>PLACA MAE</v>
      </c>
      <c r="N119">
        <f>SUMIFS(TabCategoria[Meta Mês],TabCategoria[Categoria],LO[[#This Row],[CATEGORIA]])</f>
        <v>0</v>
      </c>
      <c r="O119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1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19" t="str">
        <f>IFERROR(INDEX(TabInst[TIPO],MATCH(LO[[#This Row],[INSTITUIÇÃO]],TabInst[DESCRIÇÃO],0)),"")</f>
        <v/>
      </c>
      <c r="R119" t="str">
        <f>IFERROR(INDEX(TabInst[INSTITUIÇÃO],MATCH(LO[[#This Row],[INSTITUIÇÃO]],TabInst[DESCRIÇÃO],0)),"")</f>
        <v/>
      </c>
      <c r="S119" t="str">
        <f>PROPER(TEXT(LO[[#This Row],[DT Venc]],"MMM"))</f>
        <v>Aug</v>
      </c>
      <c r="T119">
        <f>YEAR(LO[[#This Row],[DT Venc]])</f>
        <v>2026</v>
      </c>
      <c r="U119" t="str">
        <f>IFERROR(VLOOKUP(LO[[#This Row],[CATEGORIA]],TabCategoria[],2,FALSE),"")</f>
        <v/>
      </c>
      <c r="V119" t="str">
        <f>IF(LO[[#This Row],[CONTA/CARTAO]]="Cartão","Cartão",IF(LO[[#This Row],[CATEGORIA]]="Pagamento de Cartão","Fatura",""))</f>
        <v/>
      </c>
      <c r="W119">
        <f>IF(LO[[#This Row],[Tipo]]="Receita",LO[[#This Row],[Valor]],IF(LO[[#This Row],[Tipo]]="Despesa",-LO[[#This Row],[Valor]],0))</f>
        <v>-150</v>
      </c>
    </row>
    <row r="120" spans="2:23" hidden="1" x14ac:dyDescent="0.3">
      <c r="B120" s="11">
        <v>46204</v>
      </c>
      <c r="C120" s="11">
        <v>46235</v>
      </c>
      <c r="D120" t="s">
        <v>293</v>
      </c>
      <c r="E120" s="28">
        <v>136</v>
      </c>
      <c r="F120" t="s">
        <v>284</v>
      </c>
      <c r="G120" t="s">
        <v>280</v>
      </c>
      <c r="H120" t="s">
        <v>313</v>
      </c>
      <c r="J120" t="str">
        <f>IFERROR(VLOOKUP(LO[[#This Row],[Descrição]],TabCategoria[],2,FALSE),"")</f>
        <v>NÃO OPERACIONAL</v>
      </c>
      <c r="K120" t="str">
        <f>IFERROR(VLOOKUP(LO[[#This Row],[Descrição]],TabCategoria[],3,FALSE),"")</f>
        <v>DESPESA</v>
      </c>
      <c r="L120" t="str">
        <f>IFERROR(VLOOKUP(LO[[#This Row],[Descrição]],TabCategoria[],4,FALSE),"")</f>
        <v>Lazer</v>
      </c>
      <c r="M120" t="str">
        <f>IFERROR(VLOOKUP(LO[[#This Row],[Descrição]],TabCategoria[],5,FALSE),"")</f>
        <v>PROCESSADOR</v>
      </c>
      <c r="N120">
        <f>SUMIFS(TabCategoria[Meta Mês],TabCategoria[Categoria],LO[[#This Row],[CATEGORIA]])</f>
        <v>0</v>
      </c>
      <c r="O120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2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0" t="str">
        <f>IFERROR(INDEX(TabInst[TIPO],MATCH(LO[[#This Row],[INSTITUIÇÃO]],TabInst[DESCRIÇÃO],0)),"")</f>
        <v/>
      </c>
      <c r="R120" t="str">
        <f>IFERROR(INDEX(TabInst[INSTITUIÇÃO],MATCH(LO[[#This Row],[INSTITUIÇÃO]],TabInst[DESCRIÇÃO],0)),"")</f>
        <v/>
      </c>
      <c r="S120" t="str">
        <f>PROPER(TEXT(LO[[#This Row],[DT Venc]],"MMM"))</f>
        <v>Aug</v>
      </c>
      <c r="T120">
        <f>YEAR(LO[[#This Row],[DT Venc]])</f>
        <v>2026</v>
      </c>
      <c r="U120" t="str">
        <f>IFERROR(VLOOKUP(LO[[#This Row],[CATEGORIA]],TabCategoria[],2,FALSE),"")</f>
        <v/>
      </c>
      <c r="V120" t="str">
        <f>IF(LO[[#This Row],[CONTA/CARTAO]]="Cartão","Cartão",IF(LO[[#This Row],[CATEGORIA]]="Pagamento de Cartão","Fatura",""))</f>
        <v/>
      </c>
      <c r="W120">
        <f>IF(LO[[#This Row],[Tipo]]="Receita",LO[[#This Row],[Valor]],IF(LO[[#This Row],[Tipo]]="Despesa",-LO[[#This Row],[Valor]],0))</f>
        <v>-136</v>
      </c>
    </row>
    <row r="121" spans="2:23" hidden="1" x14ac:dyDescent="0.3">
      <c r="B121" s="11">
        <v>46204</v>
      </c>
      <c r="C121" s="11">
        <v>46235</v>
      </c>
      <c r="D121" t="s">
        <v>294</v>
      </c>
      <c r="E121" s="28">
        <v>66.900000000000006</v>
      </c>
      <c r="F121" t="s">
        <v>284</v>
      </c>
      <c r="G121" t="s">
        <v>280</v>
      </c>
      <c r="H121" t="s">
        <v>313</v>
      </c>
      <c r="J121" t="str">
        <f>IFERROR(VLOOKUP(LO[[#This Row],[Descrição]],TabCategoria[],2,FALSE),"")</f>
        <v>NÃO OPERACIONAL</v>
      </c>
      <c r="K121" t="str">
        <f>IFERROR(VLOOKUP(LO[[#This Row],[Descrição]],TabCategoria[],3,FALSE),"")</f>
        <v>DESPESA</v>
      </c>
      <c r="L121" t="str">
        <f>IFERROR(VLOOKUP(LO[[#This Row],[Descrição]],TabCategoria[],4,FALSE),"")</f>
        <v>Lazer</v>
      </c>
      <c r="M121" t="str">
        <f>IFERROR(VLOOKUP(LO[[#This Row],[Descrição]],TabCategoria[],5,FALSE),"")</f>
        <v>APPLE</v>
      </c>
      <c r="N121">
        <f>SUMIFS(TabCategoria[Meta Mês],TabCategoria[Categoria],LO[[#This Row],[CATEGORIA]])</f>
        <v>0</v>
      </c>
      <c r="O121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2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1" t="str">
        <f>IFERROR(INDEX(TabInst[TIPO],MATCH(LO[[#This Row],[INSTITUIÇÃO]],TabInst[DESCRIÇÃO],0)),"")</f>
        <v/>
      </c>
      <c r="R121" t="str">
        <f>IFERROR(INDEX(TabInst[INSTITUIÇÃO],MATCH(LO[[#This Row],[INSTITUIÇÃO]],TabInst[DESCRIÇÃO],0)),"")</f>
        <v/>
      </c>
      <c r="S121" t="str">
        <f>PROPER(TEXT(LO[[#This Row],[DT Venc]],"MMM"))</f>
        <v>Aug</v>
      </c>
      <c r="T121">
        <f>YEAR(LO[[#This Row],[DT Venc]])</f>
        <v>2026</v>
      </c>
      <c r="U121" t="str">
        <f>IFERROR(VLOOKUP(LO[[#This Row],[CATEGORIA]],TabCategoria[],2,FALSE),"")</f>
        <v/>
      </c>
      <c r="V121" t="str">
        <f>IF(LO[[#This Row],[CONTA/CARTAO]]="Cartão","Cartão",IF(LO[[#This Row],[CATEGORIA]]="Pagamento de Cartão","Fatura",""))</f>
        <v/>
      </c>
      <c r="W121">
        <f>IF(LO[[#This Row],[Tipo]]="Receita",LO[[#This Row],[Valor]],IF(LO[[#This Row],[Tipo]]="Despesa",-LO[[#This Row],[Valor]],0))</f>
        <v>-66.900000000000006</v>
      </c>
    </row>
    <row r="122" spans="2:23" hidden="1" x14ac:dyDescent="0.3">
      <c r="B122" s="11">
        <v>46204</v>
      </c>
      <c r="C122" s="11">
        <v>46235</v>
      </c>
      <c r="D122" t="s">
        <v>292</v>
      </c>
      <c r="E122" s="28">
        <v>120</v>
      </c>
      <c r="F122" t="s">
        <v>284</v>
      </c>
      <c r="G122" t="s">
        <v>280</v>
      </c>
      <c r="H122" t="s">
        <v>313</v>
      </c>
      <c r="J122" t="str">
        <f>IFERROR(VLOOKUP(LO[[#This Row],[Descrição]],TabCategoria[],2,FALSE),"")</f>
        <v>NÃO OPERACIONAL</v>
      </c>
      <c r="K122" t="str">
        <f>IFERROR(VLOOKUP(LO[[#This Row],[Descrição]],TabCategoria[],3,FALSE),"")</f>
        <v>DESPESA</v>
      </c>
      <c r="L122" t="str">
        <f>IFERROR(VLOOKUP(LO[[#This Row],[Descrição]],TabCategoria[],4,FALSE),"")</f>
        <v>Lazer</v>
      </c>
      <c r="M122" t="str">
        <f>IFERROR(VLOOKUP(LO[[#This Row],[Descrição]],TabCategoria[],5,FALSE),"")</f>
        <v>PLACA MAE</v>
      </c>
      <c r="N122">
        <f>SUMIFS(TabCategoria[Meta Mês],TabCategoria[Categoria],LO[[#This Row],[CATEGORIA]])</f>
        <v>0</v>
      </c>
      <c r="O122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2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2" t="str">
        <f>IFERROR(INDEX(TabInst[TIPO],MATCH(LO[[#This Row],[INSTITUIÇÃO]],TabInst[DESCRIÇÃO],0)),"")</f>
        <v/>
      </c>
      <c r="R122" t="str">
        <f>IFERROR(INDEX(TabInst[INSTITUIÇÃO],MATCH(LO[[#This Row],[INSTITUIÇÃO]],TabInst[DESCRIÇÃO],0)),"")</f>
        <v/>
      </c>
      <c r="S122" t="str">
        <f>PROPER(TEXT(LO[[#This Row],[DT Venc]],"MMM"))</f>
        <v>Aug</v>
      </c>
      <c r="T122">
        <f>YEAR(LO[[#This Row],[DT Venc]])</f>
        <v>2026</v>
      </c>
      <c r="U122" t="str">
        <f>IFERROR(VLOOKUP(LO[[#This Row],[CATEGORIA]],TabCategoria[],2,FALSE),"")</f>
        <v/>
      </c>
      <c r="V122" t="str">
        <f>IF(LO[[#This Row],[CONTA/CARTAO]]="Cartão","Cartão",IF(LO[[#This Row],[CATEGORIA]]="Pagamento de Cartão","Fatura",""))</f>
        <v/>
      </c>
      <c r="W122">
        <f>IF(LO[[#This Row],[Tipo]]="Receita",LO[[#This Row],[Valor]],IF(LO[[#This Row],[Tipo]]="Despesa",-LO[[#This Row],[Valor]],0))</f>
        <v>-120</v>
      </c>
    </row>
    <row r="123" spans="2:23" hidden="1" x14ac:dyDescent="0.3">
      <c r="B123" s="11">
        <v>46143</v>
      </c>
      <c r="C123" s="11">
        <v>46235</v>
      </c>
      <c r="D123" t="s">
        <v>323</v>
      </c>
      <c r="E123" s="72">
        <v>276</v>
      </c>
      <c r="F123" t="s">
        <v>284</v>
      </c>
      <c r="G123" t="s">
        <v>281</v>
      </c>
      <c r="H123" t="s">
        <v>313</v>
      </c>
      <c r="I123" t="s">
        <v>325</v>
      </c>
      <c r="J123" t="str">
        <f>IFERROR(VLOOKUP(LO[[#This Row],[Descrição]],TabCategoria[],2,FALSE),"")</f>
        <v>NÃO OPERACIONAL</v>
      </c>
      <c r="K123" t="str">
        <f>IFERROR(VLOOKUP(LO[[#This Row],[Descrição]],TabCategoria[],3,FALSE),"")</f>
        <v>DESPESA</v>
      </c>
      <c r="L123" t="str">
        <f>IFERROR(VLOOKUP(LO[[#This Row],[Descrição]],TabCategoria[],4,FALSE),"")</f>
        <v>Empréstimo</v>
      </c>
      <c r="M123" t="str">
        <f>IFERROR(VLOOKUP(LO[[#This Row],[Descrição]],TabCategoria[],5,FALSE),"")</f>
        <v>Parcelamento Cartão de Crédito</v>
      </c>
      <c r="N123">
        <f>SUMIFS(TabCategoria[Meta Mês],TabCategoria[Categoria],LO[[#This Row],[CATEGORIA]])</f>
        <v>0</v>
      </c>
      <c r="O123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2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3" t="str">
        <f>IFERROR(INDEX(TabInst[TIPO],MATCH(LO[[#This Row],[INSTITUIÇÃO]],TabInst[DESCRIÇÃO],0)),"")</f>
        <v/>
      </c>
      <c r="R123" t="str">
        <f>IFERROR(INDEX(TabInst[INSTITUIÇÃO],MATCH(LO[[#This Row],[INSTITUIÇÃO]],TabInst[DESCRIÇÃO],0)),"")</f>
        <v/>
      </c>
      <c r="S123" t="str">
        <f>PROPER(TEXT(LO[[#This Row],[DT Venc]],"MMM"))</f>
        <v>Aug</v>
      </c>
      <c r="T123">
        <f>YEAR(LO[[#This Row],[DT Venc]])</f>
        <v>2026</v>
      </c>
      <c r="U123" t="str">
        <f>IFERROR(VLOOKUP(LO[[#This Row],[CATEGORIA]],TabCategoria[],2,FALSE),"")</f>
        <v/>
      </c>
      <c r="V123" t="str">
        <f>IF(LO[[#This Row],[CONTA/CARTAO]]="Cartão","Cartão",IF(LO[[#This Row],[CATEGORIA]]="Pagamento de Cartão","Fatura",""))</f>
        <v/>
      </c>
      <c r="W123">
        <f>IF(LO[[#This Row],[Tipo]]="Receita",LO[[#This Row],[Valor]],IF(LO[[#This Row],[Tipo]]="Despesa",-LO[[#This Row],[Valor]],0))</f>
        <v>-276</v>
      </c>
    </row>
    <row r="124" spans="2:23" hidden="1" x14ac:dyDescent="0.3">
      <c r="B124" s="11">
        <v>46125</v>
      </c>
      <c r="C124" s="11">
        <v>46244</v>
      </c>
      <c r="D124" t="s">
        <v>326</v>
      </c>
      <c r="E124" s="28">
        <v>391</v>
      </c>
      <c r="F124" t="s">
        <v>353</v>
      </c>
      <c r="G124" t="s">
        <v>354</v>
      </c>
      <c r="H124" t="s">
        <v>313</v>
      </c>
      <c r="I124" t="s">
        <v>352</v>
      </c>
      <c r="J124" t="str">
        <f>IFERROR(VLOOKUP(LO[[#This Row],[Descrição]],TabCategoria[],2,FALSE),"")</f>
        <v>NÃO OPERACIONAL</v>
      </c>
      <c r="K124" t="str">
        <f>IFERROR(VLOOKUP(LO[[#This Row],[Descrição]],TabCategoria[],3,FALSE),"")</f>
        <v>DESPESA</v>
      </c>
      <c r="L124" t="str">
        <f>IFERROR(VLOOKUP(LO[[#This Row],[Descrição]],TabCategoria[],4,FALSE),"")</f>
        <v>Empréstimo</v>
      </c>
      <c r="M124" t="str">
        <f>IFERROR(VLOOKUP(LO[[#This Row],[Descrição]],TabCategoria[],5,FALSE),"")</f>
        <v>Empréstimo Pessoal - Banco</v>
      </c>
      <c r="N124">
        <f>SUMIFS(TabCategoria[Meta Mês],TabCategoria[Categoria],LO[[#This Row],[CATEGORIA]])</f>
        <v>0</v>
      </c>
      <c r="O124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2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4" t="str">
        <f>IFERROR(INDEX(TabInst[TIPO],MATCH(LO[[#This Row],[INSTITUIÇÃO]],TabInst[DESCRIÇÃO],0)),"")</f>
        <v/>
      </c>
      <c r="R124" t="str">
        <f>IFERROR(INDEX(TabInst[INSTITUIÇÃO],MATCH(LO[[#This Row],[INSTITUIÇÃO]],TabInst[DESCRIÇÃO],0)),"")</f>
        <v/>
      </c>
      <c r="S124" t="str">
        <f>PROPER(TEXT(LO[[#This Row],[DT Venc]],"MMM"))</f>
        <v>Aug</v>
      </c>
      <c r="T124">
        <f>YEAR(LO[[#This Row],[DT Venc]])</f>
        <v>2026</v>
      </c>
      <c r="U124" t="str">
        <f>IFERROR(VLOOKUP(LO[[#This Row],[CATEGORIA]],TabCategoria[],2,FALSE),"")</f>
        <v/>
      </c>
      <c r="V124" t="str">
        <f>IF(LO[[#This Row],[CONTA/CARTAO]]="Cartão","Cartão",IF(LO[[#This Row],[CATEGORIA]]="Pagamento de Cartão","Fatura",""))</f>
        <v/>
      </c>
      <c r="W124">
        <f>IF(LO[[#This Row],[Tipo]]="Receita",LO[[#This Row],[Valor]],IF(LO[[#This Row],[Tipo]]="Despesa",-LO[[#This Row],[Valor]],0))</f>
        <v>-391</v>
      </c>
    </row>
    <row r="125" spans="2:23" hidden="1" x14ac:dyDescent="0.3">
      <c r="B125" s="11">
        <v>46235</v>
      </c>
      <c r="C125" s="11">
        <v>46266</v>
      </c>
      <c r="D125" t="s">
        <v>302</v>
      </c>
      <c r="E125" s="28">
        <v>2927</v>
      </c>
      <c r="F125" t="s">
        <v>284</v>
      </c>
      <c r="G125" t="s">
        <v>337</v>
      </c>
      <c r="H125" t="s">
        <v>313</v>
      </c>
      <c r="J125" t="str">
        <f>IFERROR(VLOOKUP(LO[[#This Row],[Descrição]],TabCategoria[],2,FALSE),"")</f>
        <v>OPERACIONAL</v>
      </c>
      <c r="K125" t="str">
        <f>IFERROR(VLOOKUP(LO[[#This Row],[Descrição]],TabCategoria[],3,FALSE),"")</f>
        <v>RECEITA</v>
      </c>
      <c r="L125" t="str">
        <f>IFERROR(VLOOKUP(LO[[#This Row],[Descrição]],TabCategoria[],4,FALSE),"")</f>
        <v>Renda Principal</v>
      </c>
      <c r="M125" t="str">
        <f>IFERROR(VLOOKUP(LO[[#This Row],[Descrição]],TabCategoria[],5,FALSE),"")</f>
        <v>Salário Principal</v>
      </c>
      <c r="N125">
        <f>SUMIFS(TabCategoria[Meta Mês],TabCategoria[Categoria],LO[[#This Row],[CATEGORIA]])</f>
        <v>0</v>
      </c>
      <c r="O125" s="68">
        <f>SUMIFS(LO[Valor],LO[CATEGORIA],LO[[#This Row],[CATEGORIA]],LO[ANO],LO[[#This Row],[ANO]],LO[MÊS],LO[[#This Row],[MÊS]])
/COUNTIFS(LO[CATEGORIA],LO[[#This Row],[CATEGORIA]],LO[ANO],LO[[#This Row],[ANO]],LO[MÊS],LO[[#This Row],[MÊS]])</f>
        <v>2927</v>
      </c>
      <c r="P12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5" t="str">
        <f>IFERROR(INDEX(TabInst[TIPO],MATCH(LO[[#This Row],[INSTITUIÇÃO]],TabInst[DESCRIÇÃO],0)),"")</f>
        <v/>
      </c>
      <c r="R125" t="str">
        <f>IFERROR(INDEX(TabInst[INSTITUIÇÃO],MATCH(LO[[#This Row],[INSTITUIÇÃO]],TabInst[DESCRIÇÃO],0)),"")</f>
        <v/>
      </c>
      <c r="S125" t="str">
        <f>PROPER(TEXT(LO[[#This Row],[DT Venc]],"MMM"))</f>
        <v>Sep</v>
      </c>
      <c r="T125">
        <f>YEAR(LO[[#This Row],[DT Venc]])</f>
        <v>2026</v>
      </c>
      <c r="U125" t="str">
        <f>IFERROR(VLOOKUP(LO[[#This Row],[CATEGORIA]],TabCategoria[],2,FALSE),"")</f>
        <v/>
      </c>
      <c r="V125" t="str">
        <f>IF(LO[[#This Row],[CONTA/CARTAO]]="Cartão","Cartão",IF(LO[[#This Row],[CATEGORIA]]="Pagamento de Cartão","Fatura",""))</f>
        <v/>
      </c>
      <c r="W125">
        <f>IF(LO[[#This Row],[Tipo]]="Receita",LO[[#This Row],[Valor]],IF(LO[[#This Row],[Tipo]]="Despesa",-LO[[#This Row],[Valor]],0))</f>
        <v>2927</v>
      </c>
    </row>
    <row r="126" spans="2:23" hidden="1" x14ac:dyDescent="0.3">
      <c r="B126" s="11">
        <v>46235</v>
      </c>
      <c r="C126" s="11">
        <v>46266</v>
      </c>
      <c r="D126" t="s">
        <v>326</v>
      </c>
      <c r="E126" s="28">
        <v>188.68</v>
      </c>
      <c r="F126" t="s">
        <v>284</v>
      </c>
      <c r="G126" t="s">
        <v>282</v>
      </c>
      <c r="H126" t="s">
        <v>313</v>
      </c>
      <c r="J126" t="str">
        <f>IFERROR(VLOOKUP(LO[[#This Row],[Descrição]],TabCategoria[],2,FALSE),"")</f>
        <v>NÃO OPERACIONAL</v>
      </c>
      <c r="K126" t="str">
        <f>IFERROR(VLOOKUP(LO[[#This Row],[Descrição]],TabCategoria[],3,FALSE),"")</f>
        <v>DESPESA</v>
      </c>
      <c r="L126" t="str">
        <f>IFERROR(VLOOKUP(LO[[#This Row],[Descrição]],TabCategoria[],4,FALSE),"")</f>
        <v>Empréstimo</v>
      </c>
      <c r="M126" t="str">
        <f>IFERROR(VLOOKUP(LO[[#This Row],[Descrição]],TabCategoria[],5,FALSE),"")</f>
        <v>Empréstimo Pessoal - Banco</v>
      </c>
      <c r="N126">
        <f>SUMIFS(TabCategoria[Meta Mês],TabCategoria[Categoria],LO[[#This Row],[CATEGORIA]])</f>
        <v>0</v>
      </c>
      <c r="O126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2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6" t="str">
        <f>IFERROR(INDEX(TabInst[TIPO],MATCH(LO[[#This Row],[INSTITUIÇÃO]],TabInst[DESCRIÇÃO],0)),"")</f>
        <v/>
      </c>
      <c r="R126" t="str">
        <f>IFERROR(INDEX(TabInst[INSTITUIÇÃO],MATCH(LO[[#This Row],[INSTITUIÇÃO]],TabInst[DESCRIÇÃO],0)),"")</f>
        <v/>
      </c>
      <c r="S126" t="str">
        <f>PROPER(TEXT(LO[[#This Row],[DT Venc]],"MMM"))</f>
        <v>Sep</v>
      </c>
      <c r="T126">
        <f>YEAR(LO[[#This Row],[DT Venc]])</f>
        <v>2026</v>
      </c>
      <c r="U126" t="str">
        <f>IFERROR(VLOOKUP(LO[[#This Row],[CATEGORIA]],TabCategoria[],2,FALSE),"")</f>
        <v/>
      </c>
      <c r="V126" t="str">
        <f>IF(LO[[#This Row],[CONTA/CARTAO]]="Cartão","Cartão",IF(LO[[#This Row],[CATEGORIA]]="Pagamento de Cartão","Fatura",""))</f>
        <v/>
      </c>
      <c r="W126">
        <f>IF(LO[[#This Row],[Tipo]]="Receita",LO[[#This Row],[Valor]],IF(LO[[#This Row],[Tipo]]="Despesa",-LO[[#This Row],[Valor]],0))</f>
        <v>-188.68</v>
      </c>
    </row>
    <row r="127" spans="2:23" hidden="1" x14ac:dyDescent="0.3">
      <c r="B127" s="11">
        <v>46235</v>
      </c>
      <c r="C127" s="11">
        <v>46266</v>
      </c>
      <c r="D127" t="s">
        <v>318</v>
      </c>
      <c r="E127" s="28">
        <v>250</v>
      </c>
      <c r="F127" t="s">
        <v>284</v>
      </c>
      <c r="G127" t="s">
        <v>280</v>
      </c>
      <c r="H127" t="s">
        <v>313</v>
      </c>
      <c r="J127" t="str">
        <f>IFERROR(VLOOKUP(LO[[#This Row],[Descrição]],TabCategoria[],2,FALSE),"")</f>
        <v>OPERACIONAL</v>
      </c>
      <c r="K127" t="str">
        <f>IFERROR(VLOOKUP(LO[[#This Row],[Descrição]],TabCategoria[],3,FALSE),"")</f>
        <v>DESPESA</v>
      </c>
      <c r="L127" t="str">
        <f>IFERROR(VLOOKUP(LO[[#This Row],[Descrição]],TabCategoria[],4,FALSE),"")</f>
        <v>Moradia</v>
      </c>
      <c r="M127" t="str">
        <f>IFERROR(VLOOKUP(LO[[#This Row],[Descrição]],TabCategoria[],5,FALSE),"")</f>
        <v>Água</v>
      </c>
      <c r="N127">
        <f>SUMIFS(TabCategoria[Meta Mês],TabCategoria[Categoria],LO[[#This Row],[CATEGORIA]])</f>
        <v>0</v>
      </c>
      <c r="O127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12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7" t="str">
        <f>IFERROR(INDEX(TabInst[TIPO],MATCH(LO[[#This Row],[INSTITUIÇÃO]],TabInst[DESCRIÇÃO],0)),"")</f>
        <v/>
      </c>
      <c r="R127" t="str">
        <f>IFERROR(INDEX(TabInst[INSTITUIÇÃO],MATCH(LO[[#This Row],[INSTITUIÇÃO]],TabInst[DESCRIÇÃO],0)),"")</f>
        <v/>
      </c>
      <c r="S127" t="str">
        <f>PROPER(TEXT(LO[[#This Row],[DT Venc]],"MMM"))</f>
        <v>Sep</v>
      </c>
      <c r="T127">
        <f>YEAR(LO[[#This Row],[DT Venc]])</f>
        <v>2026</v>
      </c>
      <c r="U127" t="str">
        <f>IFERROR(VLOOKUP(LO[[#This Row],[CATEGORIA]],TabCategoria[],2,FALSE),"")</f>
        <v/>
      </c>
      <c r="V127" t="str">
        <f>IF(LO[[#This Row],[CONTA/CARTAO]]="Cartão","Cartão",IF(LO[[#This Row],[CATEGORIA]]="Pagamento de Cartão","Fatura",""))</f>
        <v/>
      </c>
      <c r="W127">
        <f>IF(LO[[#This Row],[Tipo]]="Receita",LO[[#This Row],[Valor]],IF(LO[[#This Row],[Tipo]]="Despesa",-LO[[#This Row],[Valor]],0))</f>
        <v>-250</v>
      </c>
    </row>
    <row r="128" spans="2:23" hidden="1" x14ac:dyDescent="0.3">
      <c r="B128" s="11">
        <v>46235</v>
      </c>
      <c r="C128" s="11">
        <v>46266</v>
      </c>
      <c r="D128" t="s">
        <v>319</v>
      </c>
      <c r="E128" s="28">
        <v>150</v>
      </c>
      <c r="F128" t="s">
        <v>284</v>
      </c>
      <c r="G128" t="s">
        <v>280</v>
      </c>
      <c r="H128" t="s">
        <v>313</v>
      </c>
      <c r="J128" t="str">
        <f>IFERROR(VLOOKUP(LO[[#This Row],[Descrição]],TabCategoria[],2,FALSE),"")</f>
        <v>OPERACIONAL</v>
      </c>
      <c r="K128" t="str">
        <f>IFERROR(VLOOKUP(LO[[#This Row],[Descrição]],TabCategoria[],3,FALSE),"")</f>
        <v>DESPESA</v>
      </c>
      <c r="L128" t="str">
        <f>IFERROR(VLOOKUP(LO[[#This Row],[Descrição]],TabCategoria[],4,FALSE),"")</f>
        <v>Transporte</v>
      </c>
      <c r="M128" t="str">
        <f>IFERROR(VLOOKUP(LO[[#This Row],[Descrição]],TabCategoria[],5,FALSE),"")</f>
        <v>Combustível</v>
      </c>
      <c r="N128">
        <f>SUMIFS(TabCategoria[Meta Mês],TabCategoria[Categoria],LO[[#This Row],[CATEGORIA]])</f>
        <v>0</v>
      </c>
      <c r="O128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12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8" t="str">
        <f>IFERROR(INDEX(TabInst[TIPO],MATCH(LO[[#This Row],[INSTITUIÇÃO]],TabInst[DESCRIÇÃO],0)),"")</f>
        <v/>
      </c>
      <c r="R128" t="str">
        <f>IFERROR(INDEX(TabInst[INSTITUIÇÃO],MATCH(LO[[#This Row],[INSTITUIÇÃO]],TabInst[DESCRIÇÃO],0)),"")</f>
        <v/>
      </c>
      <c r="S128" t="str">
        <f>PROPER(TEXT(LO[[#This Row],[DT Venc]],"MMM"))</f>
        <v>Sep</v>
      </c>
      <c r="T128">
        <f>YEAR(LO[[#This Row],[DT Venc]])</f>
        <v>2026</v>
      </c>
      <c r="U128" t="str">
        <f>IFERROR(VLOOKUP(LO[[#This Row],[CATEGORIA]],TabCategoria[],2,FALSE),"")</f>
        <v/>
      </c>
      <c r="V128" t="str">
        <f>IF(LO[[#This Row],[CONTA/CARTAO]]="Cartão","Cartão",IF(LO[[#This Row],[CATEGORIA]]="Pagamento de Cartão","Fatura",""))</f>
        <v/>
      </c>
      <c r="W128">
        <f>IF(LO[[#This Row],[Tipo]]="Receita",LO[[#This Row],[Valor]],IF(LO[[#This Row],[Tipo]]="Despesa",-LO[[#This Row],[Valor]],0))</f>
        <v>-150</v>
      </c>
    </row>
    <row r="129" spans="2:23" hidden="1" x14ac:dyDescent="0.3">
      <c r="B129" s="11">
        <v>46235</v>
      </c>
      <c r="C129" s="11">
        <v>46266</v>
      </c>
      <c r="D129" t="s">
        <v>286</v>
      </c>
      <c r="E129" s="28">
        <v>45</v>
      </c>
      <c r="F129" t="s">
        <v>284</v>
      </c>
      <c r="G129" t="s">
        <v>281</v>
      </c>
      <c r="H129" t="s">
        <v>313</v>
      </c>
      <c r="J129" t="str">
        <f>IFERROR(VLOOKUP(LO[[#This Row],[Descrição]],TabCategoria[],2,FALSE),"")</f>
        <v>OPERACIONAL</v>
      </c>
      <c r="K129" t="str">
        <f>IFERROR(VLOOKUP(LO[[#This Row],[Descrição]],TabCategoria[],3,FALSE),"")</f>
        <v>DESPESA</v>
      </c>
      <c r="L129" t="str">
        <f>IFERROR(VLOOKUP(LO[[#This Row],[Descrição]],TabCategoria[],4,FALSE),"")</f>
        <v>Comunicação</v>
      </c>
      <c r="M129" t="str">
        <f>IFERROR(VLOOKUP(LO[[#This Row],[Descrição]],TabCategoria[],5,FALSE),"")</f>
        <v>Internet</v>
      </c>
      <c r="N129">
        <f>SUMIFS(TabCategoria[Meta Mês],TabCategoria[Categoria],LO[[#This Row],[CATEGORIA]])</f>
        <v>0</v>
      </c>
      <c r="O129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2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29" t="str">
        <f>IFERROR(INDEX(TabInst[TIPO],MATCH(LO[[#This Row],[INSTITUIÇÃO]],TabInst[DESCRIÇÃO],0)),"")</f>
        <v/>
      </c>
      <c r="R129" t="str">
        <f>IFERROR(INDEX(TabInst[INSTITUIÇÃO],MATCH(LO[[#This Row],[INSTITUIÇÃO]],TabInst[DESCRIÇÃO],0)),"")</f>
        <v/>
      </c>
      <c r="S129" t="str">
        <f>PROPER(TEXT(LO[[#This Row],[DT Venc]],"MMM"))</f>
        <v>Sep</v>
      </c>
      <c r="T129">
        <f>YEAR(LO[[#This Row],[DT Venc]])</f>
        <v>2026</v>
      </c>
      <c r="U129" t="str">
        <f>IFERROR(VLOOKUP(LO[[#This Row],[CATEGORIA]],TabCategoria[],2,FALSE),"")</f>
        <v/>
      </c>
      <c r="V129" t="str">
        <f>IF(LO[[#This Row],[CONTA/CARTAO]]="Cartão","Cartão",IF(LO[[#This Row],[CATEGORIA]]="Pagamento de Cartão","Fatura",""))</f>
        <v/>
      </c>
      <c r="W129">
        <f>IF(LO[[#This Row],[Tipo]]="Receita",LO[[#This Row],[Valor]],IF(LO[[#This Row],[Tipo]]="Despesa",-LO[[#This Row],[Valor]],0))</f>
        <v>-45</v>
      </c>
    </row>
    <row r="130" spans="2:23" hidden="1" x14ac:dyDescent="0.3">
      <c r="B130" s="11">
        <v>46235</v>
      </c>
      <c r="C130" s="11">
        <v>46266</v>
      </c>
      <c r="D130" t="s">
        <v>287</v>
      </c>
      <c r="E130" s="28">
        <v>137</v>
      </c>
      <c r="F130" t="s">
        <v>284</v>
      </c>
      <c r="G130" t="s">
        <v>281</v>
      </c>
      <c r="H130" t="s">
        <v>313</v>
      </c>
      <c r="J130" t="str">
        <f>IFERROR(VLOOKUP(LO[[#This Row],[Descrição]],TabCategoria[],2,FALSE),"")</f>
        <v>NÃO OPERACIONAL</v>
      </c>
      <c r="K130" t="str">
        <f>IFERROR(VLOOKUP(LO[[#This Row],[Descrição]],TabCategoria[],3,FALSE),"")</f>
        <v>DESPESA</v>
      </c>
      <c r="L130" t="str">
        <f>IFERROR(VLOOKUP(LO[[#This Row],[Descrição]],TabCategoria[],4,FALSE),"")</f>
        <v>Pessoais</v>
      </c>
      <c r="M130" t="str">
        <f>IFERROR(VLOOKUP(LO[[#This Row],[Descrição]],TabCategoria[],5,FALSE),"")</f>
        <v>INTERNET CELULAR</v>
      </c>
      <c r="N130">
        <f>SUMIFS(TabCategoria[Meta Mês],TabCategoria[Categoria],LO[[#This Row],[CATEGORIA]])</f>
        <v>0</v>
      </c>
      <c r="O130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13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0" t="str">
        <f>IFERROR(INDEX(TabInst[TIPO],MATCH(LO[[#This Row],[INSTITUIÇÃO]],TabInst[DESCRIÇÃO],0)),"")</f>
        <v/>
      </c>
      <c r="R130" t="str">
        <f>IFERROR(INDEX(TabInst[INSTITUIÇÃO],MATCH(LO[[#This Row],[INSTITUIÇÃO]],TabInst[DESCRIÇÃO],0)),"")</f>
        <v/>
      </c>
      <c r="S130" t="str">
        <f>PROPER(TEXT(LO[[#This Row],[DT Venc]],"MMM"))</f>
        <v>Sep</v>
      </c>
      <c r="T130">
        <f>YEAR(LO[[#This Row],[DT Venc]])</f>
        <v>2026</v>
      </c>
      <c r="U130" t="str">
        <f>IFERROR(VLOOKUP(LO[[#This Row],[CATEGORIA]],TabCategoria[],2,FALSE),"")</f>
        <v/>
      </c>
      <c r="V130" t="str">
        <f>IF(LO[[#This Row],[CONTA/CARTAO]]="Cartão","Cartão",IF(LO[[#This Row],[CATEGORIA]]="Pagamento de Cartão","Fatura",""))</f>
        <v/>
      </c>
      <c r="W130">
        <f>IF(LO[[#This Row],[Tipo]]="Receita",LO[[#This Row],[Valor]],IF(LO[[#This Row],[Tipo]]="Despesa",-LO[[#This Row],[Valor]],0))</f>
        <v>-137</v>
      </c>
    </row>
    <row r="131" spans="2:23" hidden="1" x14ac:dyDescent="0.3">
      <c r="B131" s="11">
        <v>46235</v>
      </c>
      <c r="C131" s="11">
        <v>46266</v>
      </c>
      <c r="D131" t="s">
        <v>288</v>
      </c>
      <c r="E131" s="28">
        <v>21</v>
      </c>
      <c r="F131" t="s">
        <v>284</v>
      </c>
      <c r="G131" t="s">
        <v>281</v>
      </c>
      <c r="H131" t="s">
        <v>313</v>
      </c>
      <c r="J131" t="str">
        <f>IFERROR(VLOOKUP(LO[[#This Row],[Descrição]],TabCategoria[],2,FALSE),"")</f>
        <v>OPERACIONAL</v>
      </c>
      <c r="K131" t="str">
        <f>IFERROR(VLOOKUP(LO[[#This Row],[Descrição]],TabCategoria[],3,FALSE),"")</f>
        <v>DESPESA</v>
      </c>
      <c r="L131" t="str">
        <f>IFERROR(VLOOKUP(LO[[#This Row],[Descrição]],TabCategoria[],4,FALSE),"")</f>
        <v>Comunicação</v>
      </c>
      <c r="M131" t="str">
        <f>IFERROR(VLOOKUP(LO[[#This Row],[Descrição]],TabCategoria[],5,FALSE),"")</f>
        <v>Apps (Netflix, Spotify, Skype, etc)</v>
      </c>
      <c r="N131">
        <f>SUMIFS(TabCategoria[Meta Mês],TabCategoria[Categoria],LO[[#This Row],[CATEGORIA]])</f>
        <v>0</v>
      </c>
      <c r="O131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3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1" t="str">
        <f>IFERROR(INDEX(TabInst[TIPO],MATCH(LO[[#This Row],[INSTITUIÇÃO]],TabInst[DESCRIÇÃO],0)),"")</f>
        <v/>
      </c>
      <c r="R131" t="str">
        <f>IFERROR(INDEX(TabInst[INSTITUIÇÃO],MATCH(LO[[#This Row],[INSTITUIÇÃO]],TabInst[DESCRIÇÃO],0)),"")</f>
        <v/>
      </c>
      <c r="S131" t="str">
        <f>PROPER(TEXT(LO[[#This Row],[DT Venc]],"MMM"))</f>
        <v>Sep</v>
      </c>
      <c r="T131">
        <f>YEAR(LO[[#This Row],[DT Venc]])</f>
        <v>2026</v>
      </c>
      <c r="U131" t="str">
        <f>IFERROR(VLOOKUP(LO[[#This Row],[CATEGORIA]],TabCategoria[],2,FALSE),"")</f>
        <v/>
      </c>
      <c r="V131" t="str">
        <f>IF(LO[[#This Row],[CONTA/CARTAO]]="Cartão","Cartão",IF(LO[[#This Row],[CATEGORIA]]="Pagamento de Cartão","Fatura",""))</f>
        <v/>
      </c>
      <c r="W131">
        <f>IF(LO[[#This Row],[Tipo]]="Receita",LO[[#This Row],[Valor]],IF(LO[[#This Row],[Tipo]]="Despesa",-LO[[#This Row],[Valor]],0))</f>
        <v>-21</v>
      </c>
    </row>
    <row r="132" spans="2:23" hidden="1" x14ac:dyDescent="0.3">
      <c r="B132" s="11">
        <v>46235</v>
      </c>
      <c r="C132" s="11">
        <v>46266</v>
      </c>
      <c r="D132" t="s">
        <v>288</v>
      </c>
      <c r="E132" s="28">
        <v>24.9</v>
      </c>
      <c r="F132" t="s">
        <v>284</v>
      </c>
      <c r="G132" t="s">
        <v>281</v>
      </c>
      <c r="H132" t="s">
        <v>313</v>
      </c>
      <c r="J132" t="str">
        <f>IFERROR(VLOOKUP(LO[[#This Row],[Descrição]],TabCategoria[],2,FALSE),"")</f>
        <v>OPERACIONAL</v>
      </c>
      <c r="K132" t="str">
        <f>IFERROR(VLOOKUP(LO[[#This Row],[Descrição]],TabCategoria[],3,FALSE),"")</f>
        <v>DESPESA</v>
      </c>
      <c r="L132" t="str">
        <f>IFERROR(VLOOKUP(LO[[#This Row],[Descrição]],TabCategoria[],4,FALSE),"")</f>
        <v>Comunicação</v>
      </c>
      <c r="M132" t="str">
        <f>IFERROR(VLOOKUP(LO[[#This Row],[Descrição]],TabCategoria[],5,FALSE),"")</f>
        <v>Apps (Netflix, Spotify, Skype, etc)</v>
      </c>
      <c r="N132">
        <f>SUMIFS(TabCategoria[Meta Mês],TabCategoria[Categoria],LO[[#This Row],[CATEGORIA]])</f>
        <v>0</v>
      </c>
      <c r="O132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3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2" t="str">
        <f>IFERROR(INDEX(TabInst[TIPO],MATCH(LO[[#This Row],[INSTITUIÇÃO]],TabInst[DESCRIÇÃO],0)),"")</f>
        <v/>
      </c>
      <c r="R132" t="str">
        <f>IFERROR(INDEX(TabInst[INSTITUIÇÃO],MATCH(LO[[#This Row],[INSTITUIÇÃO]],TabInst[DESCRIÇÃO],0)),"")</f>
        <v/>
      </c>
      <c r="S132" t="str">
        <f>PROPER(TEXT(LO[[#This Row],[DT Venc]],"MMM"))</f>
        <v>Sep</v>
      </c>
      <c r="T132">
        <f>YEAR(LO[[#This Row],[DT Venc]])</f>
        <v>2026</v>
      </c>
      <c r="U132" t="str">
        <f>IFERROR(VLOOKUP(LO[[#This Row],[CATEGORIA]],TabCategoria[],2,FALSE),"")</f>
        <v/>
      </c>
      <c r="V132" t="str">
        <f>IF(LO[[#This Row],[CONTA/CARTAO]]="Cartão","Cartão",IF(LO[[#This Row],[CATEGORIA]]="Pagamento de Cartão","Fatura",""))</f>
        <v/>
      </c>
      <c r="W132">
        <f>IF(LO[[#This Row],[Tipo]]="Receita",LO[[#This Row],[Valor]],IF(LO[[#This Row],[Tipo]]="Despesa",-LO[[#This Row],[Valor]],0))</f>
        <v>-24.9</v>
      </c>
    </row>
    <row r="133" spans="2:23" hidden="1" x14ac:dyDescent="0.3">
      <c r="B133" s="11">
        <v>46235</v>
      </c>
      <c r="C133" s="11">
        <v>46266</v>
      </c>
      <c r="D133" t="s">
        <v>288</v>
      </c>
      <c r="E133" s="28">
        <v>35</v>
      </c>
      <c r="F133" t="s">
        <v>284</v>
      </c>
      <c r="G133" t="s">
        <v>281</v>
      </c>
      <c r="H133" t="s">
        <v>313</v>
      </c>
      <c r="J133" t="str">
        <f>IFERROR(VLOOKUP(LO[[#This Row],[Descrição]],TabCategoria[],2,FALSE),"")</f>
        <v>OPERACIONAL</v>
      </c>
      <c r="K133" t="str">
        <f>IFERROR(VLOOKUP(LO[[#This Row],[Descrição]],TabCategoria[],3,FALSE),"")</f>
        <v>DESPESA</v>
      </c>
      <c r="L133" t="str">
        <f>IFERROR(VLOOKUP(LO[[#This Row],[Descrição]],TabCategoria[],4,FALSE),"")</f>
        <v>Comunicação</v>
      </c>
      <c r="M133" t="str">
        <f>IFERROR(VLOOKUP(LO[[#This Row],[Descrição]],TabCategoria[],5,FALSE),"")</f>
        <v>Apps (Netflix, Spotify, Skype, etc)</v>
      </c>
      <c r="N133">
        <f>SUMIFS(TabCategoria[Meta Mês],TabCategoria[Categoria],LO[[#This Row],[CATEGORIA]])</f>
        <v>0</v>
      </c>
      <c r="O133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3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3" t="str">
        <f>IFERROR(INDEX(TabInst[TIPO],MATCH(LO[[#This Row],[INSTITUIÇÃO]],TabInst[DESCRIÇÃO],0)),"")</f>
        <v/>
      </c>
      <c r="R133" t="str">
        <f>IFERROR(INDEX(TabInst[INSTITUIÇÃO],MATCH(LO[[#This Row],[INSTITUIÇÃO]],TabInst[DESCRIÇÃO],0)),"")</f>
        <v/>
      </c>
      <c r="S133" t="str">
        <f>PROPER(TEXT(LO[[#This Row],[DT Venc]],"MMM"))</f>
        <v>Sep</v>
      </c>
      <c r="T133">
        <f>YEAR(LO[[#This Row],[DT Venc]])</f>
        <v>2026</v>
      </c>
      <c r="U133" t="str">
        <f>IFERROR(VLOOKUP(LO[[#This Row],[CATEGORIA]],TabCategoria[],2,FALSE),"")</f>
        <v/>
      </c>
      <c r="V133" t="str">
        <f>IF(LO[[#This Row],[CONTA/CARTAO]]="Cartão","Cartão",IF(LO[[#This Row],[CATEGORIA]]="Pagamento de Cartão","Fatura",""))</f>
        <v/>
      </c>
      <c r="W133">
        <f>IF(LO[[#This Row],[Tipo]]="Receita",LO[[#This Row],[Valor]],IF(LO[[#This Row],[Tipo]]="Despesa",-LO[[#This Row],[Valor]],0))</f>
        <v>-35</v>
      </c>
    </row>
    <row r="134" spans="2:23" hidden="1" x14ac:dyDescent="0.3">
      <c r="B134" s="11">
        <v>46235</v>
      </c>
      <c r="C134" s="11">
        <v>46266</v>
      </c>
      <c r="D134" t="s">
        <v>289</v>
      </c>
      <c r="E134" s="28">
        <v>217</v>
      </c>
      <c r="F134" t="s">
        <v>284</v>
      </c>
      <c r="G134" t="s">
        <v>280</v>
      </c>
      <c r="H134" t="s">
        <v>313</v>
      </c>
      <c r="J134" t="str">
        <f>IFERROR(VLOOKUP(LO[[#This Row],[Descrição]],TabCategoria[],2,FALSE),"")</f>
        <v>NÃO OPERACIONAL</v>
      </c>
      <c r="K134" t="str">
        <f>IFERROR(VLOOKUP(LO[[#This Row],[Descrição]],TabCategoria[],3,FALSE),"")</f>
        <v>DESPESA</v>
      </c>
      <c r="L134" t="str">
        <f>IFERROR(VLOOKUP(LO[[#This Row],[Descrição]],TabCategoria[],4,FALSE),"")</f>
        <v>Lazer</v>
      </c>
      <c r="M134" t="str">
        <f>IFERROR(VLOOKUP(LO[[#This Row],[Descrição]],TabCategoria[],5,FALSE),"")</f>
        <v>CELULAR</v>
      </c>
      <c r="N134">
        <f>SUMIFS(TabCategoria[Meta Mês],TabCategoria[Categoria],LO[[#This Row],[CATEGORIA]])</f>
        <v>0</v>
      </c>
      <c r="O134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3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4" t="str">
        <f>IFERROR(INDEX(TabInst[TIPO],MATCH(LO[[#This Row],[INSTITUIÇÃO]],TabInst[DESCRIÇÃO],0)),"")</f>
        <v/>
      </c>
      <c r="R134" t="str">
        <f>IFERROR(INDEX(TabInst[INSTITUIÇÃO],MATCH(LO[[#This Row],[INSTITUIÇÃO]],TabInst[DESCRIÇÃO],0)),"")</f>
        <v/>
      </c>
      <c r="S134" t="str">
        <f>PROPER(TEXT(LO[[#This Row],[DT Venc]],"MMM"))</f>
        <v>Sep</v>
      </c>
      <c r="T134">
        <f>YEAR(LO[[#This Row],[DT Venc]])</f>
        <v>2026</v>
      </c>
      <c r="U134" t="str">
        <f>IFERROR(VLOOKUP(LO[[#This Row],[CATEGORIA]],TabCategoria[],2,FALSE),"")</f>
        <v/>
      </c>
      <c r="V134" t="str">
        <f>IF(LO[[#This Row],[CONTA/CARTAO]]="Cartão","Cartão",IF(LO[[#This Row],[CATEGORIA]]="Pagamento de Cartão","Fatura",""))</f>
        <v/>
      </c>
      <c r="W134">
        <f>IF(LO[[#This Row],[Tipo]]="Receita",LO[[#This Row],[Valor]],IF(LO[[#This Row],[Tipo]]="Despesa",-LO[[#This Row],[Valor]],0))</f>
        <v>-217</v>
      </c>
    </row>
    <row r="135" spans="2:23" hidden="1" x14ac:dyDescent="0.3">
      <c r="B135" s="11">
        <v>46235</v>
      </c>
      <c r="C135" s="11">
        <v>46266</v>
      </c>
      <c r="D135" t="s">
        <v>290</v>
      </c>
      <c r="E135" s="28">
        <v>67.8</v>
      </c>
      <c r="F135" t="s">
        <v>284</v>
      </c>
      <c r="G135" t="s">
        <v>280</v>
      </c>
      <c r="H135" t="s">
        <v>313</v>
      </c>
      <c r="J135" t="str">
        <f>IFERROR(VLOOKUP(LO[[#This Row],[Descrição]],TabCategoria[],2,FALSE),"")</f>
        <v>NÃO OPERACIONAL</v>
      </c>
      <c r="K135" t="str">
        <f>IFERROR(VLOOKUP(LO[[#This Row],[Descrição]],TabCategoria[],3,FALSE),"")</f>
        <v>DESPESA</v>
      </c>
      <c r="L135" t="str">
        <f>IFERROR(VLOOKUP(LO[[#This Row],[Descrição]],TabCategoria[],4,FALSE),"")</f>
        <v>Lazer</v>
      </c>
      <c r="M135" t="str">
        <f>IFERROR(VLOOKUP(LO[[#This Row],[Descrição]],TabCategoria[],5,FALSE),"")</f>
        <v>FONTE, COOLER</v>
      </c>
      <c r="N135">
        <f>SUMIFS(TabCategoria[Meta Mês],TabCategoria[Categoria],LO[[#This Row],[CATEGORIA]])</f>
        <v>0</v>
      </c>
      <c r="O135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3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5" t="str">
        <f>IFERROR(INDEX(TabInst[TIPO],MATCH(LO[[#This Row],[INSTITUIÇÃO]],TabInst[DESCRIÇÃO],0)),"")</f>
        <v/>
      </c>
      <c r="R135" t="str">
        <f>IFERROR(INDEX(TabInst[INSTITUIÇÃO],MATCH(LO[[#This Row],[INSTITUIÇÃO]],TabInst[DESCRIÇÃO],0)),"")</f>
        <v/>
      </c>
      <c r="S135" t="str">
        <f>PROPER(TEXT(LO[[#This Row],[DT Venc]],"MMM"))</f>
        <v>Sep</v>
      </c>
      <c r="T135">
        <f>YEAR(LO[[#This Row],[DT Venc]])</f>
        <v>2026</v>
      </c>
      <c r="U135" t="str">
        <f>IFERROR(VLOOKUP(LO[[#This Row],[CATEGORIA]],TabCategoria[],2,FALSE),"")</f>
        <v/>
      </c>
      <c r="V135" t="str">
        <f>IF(LO[[#This Row],[CONTA/CARTAO]]="Cartão","Cartão",IF(LO[[#This Row],[CATEGORIA]]="Pagamento de Cartão","Fatura",""))</f>
        <v/>
      </c>
      <c r="W135">
        <f>IF(LO[[#This Row],[Tipo]]="Receita",LO[[#This Row],[Valor]],IF(LO[[#This Row],[Tipo]]="Despesa",-LO[[#This Row],[Valor]],0))</f>
        <v>-67.8</v>
      </c>
    </row>
    <row r="136" spans="2:23" hidden="1" x14ac:dyDescent="0.3">
      <c r="B136" s="11">
        <v>46235</v>
      </c>
      <c r="C136" s="11">
        <v>46266</v>
      </c>
      <c r="D136" t="s">
        <v>323</v>
      </c>
      <c r="E136" s="28">
        <v>154</v>
      </c>
      <c r="F136" t="s">
        <v>284</v>
      </c>
      <c r="G136" t="s">
        <v>281</v>
      </c>
      <c r="H136" t="s">
        <v>313</v>
      </c>
      <c r="J136" t="str">
        <f>IFERROR(VLOOKUP(LO[[#This Row],[Descrição]],TabCategoria[],2,FALSE),"")</f>
        <v>NÃO OPERACIONAL</v>
      </c>
      <c r="K136" t="str">
        <f>IFERROR(VLOOKUP(LO[[#This Row],[Descrição]],TabCategoria[],3,FALSE),"")</f>
        <v>DESPESA</v>
      </c>
      <c r="L136" t="str">
        <f>IFERROR(VLOOKUP(LO[[#This Row],[Descrição]],TabCategoria[],4,FALSE),"")</f>
        <v>Empréstimo</v>
      </c>
      <c r="M136" t="str">
        <f>IFERROR(VLOOKUP(LO[[#This Row],[Descrição]],TabCategoria[],5,FALSE),"")</f>
        <v>Parcelamento Cartão de Crédito</v>
      </c>
      <c r="N136">
        <f>SUMIFS(TabCategoria[Meta Mês],TabCategoria[Categoria],LO[[#This Row],[CATEGORIA]])</f>
        <v>0</v>
      </c>
      <c r="O136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3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6" t="str">
        <f>IFERROR(INDEX(TabInst[TIPO],MATCH(LO[[#This Row],[INSTITUIÇÃO]],TabInst[DESCRIÇÃO],0)),"")</f>
        <v/>
      </c>
      <c r="R136" t="str">
        <f>IFERROR(INDEX(TabInst[INSTITUIÇÃO],MATCH(LO[[#This Row],[INSTITUIÇÃO]],TabInst[DESCRIÇÃO],0)),"")</f>
        <v/>
      </c>
      <c r="S136" t="str">
        <f>PROPER(TEXT(LO[[#This Row],[DT Venc]],"MMM"))</f>
        <v>Sep</v>
      </c>
      <c r="T136">
        <f>YEAR(LO[[#This Row],[DT Venc]])</f>
        <v>2026</v>
      </c>
      <c r="U136" t="str">
        <f>IFERROR(VLOOKUP(LO[[#This Row],[CATEGORIA]],TabCategoria[],2,FALSE),"")</f>
        <v/>
      </c>
      <c r="V136" t="str">
        <f>IF(LO[[#This Row],[CONTA/CARTAO]]="Cartão","Cartão",IF(LO[[#This Row],[CATEGORIA]]="Pagamento de Cartão","Fatura",""))</f>
        <v/>
      </c>
      <c r="W136">
        <f>IF(LO[[#This Row],[Tipo]]="Receita",LO[[#This Row],[Valor]],IF(LO[[#This Row],[Tipo]]="Despesa",-LO[[#This Row],[Valor]],0))</f>
        <v>-154</v>
      </c>
    </row>
    <row r="137" spans="2:23" hidden="1" x14ac:dyDescent="0.3">
      <c r="B137" s="11">
        <v>46235</v>
      </c>
      <c r="C137" s="11">
        <v>46266</v>
      </c>
      <c r="D137" t="s">
        <v>291</v>
      </c>
      <c r="E137" s="28">
        <v>50</v>
      </c>
      <c r="F137" t="s">
        <v>284</v>
      </c>
      <c r="G137" t="s">
        <v>280</v>
      </c>
      <c r="H137" t="s">
        <v>313</v>
      </c>
      <c r="J137" t="str">
        <f>IFERROR(VLOOKUP(LO[[#This Row],[Descrição]],TabCategoria[],2,FALSE),"")</f>
        <v>NÃO OPERACIONAL</v>
      </c>
      <c r="K137" t="str">
        <f>IFERROR(VLOOKUP(LO[[#This Row],[Descrição]],TabCategoria[],3,FALSE),"")</f>
        <v>DESPESA</v>
      </c>
      <c r="L137" t="str">
        <f>IFERROR(VLOOKUP(LO[[#This Row],[Descrição]],TabCategoria[],4,FALSE),"")</f>
        <v>Lazer</v>
      </c>
      <c r="M137" t="str">
        <f>IFERROR(VLOOKUP(LO[[#This Row],[Descrição]],TabCategoria[],5,FALSE),"")</f>
        <v>CADEIRA</v>
      </c>
      <c r="N137">
        <f>SUMIFS(TabCategoria[Meta Mês],TabCategoria[Categoria],LO[[#This Row],[CATEGORIA]])</f>
        <v>0</v>
      </c>
      <c r="O137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3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7" t="str">
        <f>IFERROR(INDEX(TabInst[TIPO],MATCH(LO[[#This Row],[INSTITUIÇÃO]],TabInst[DESCRIÇÃO],0)),"")</f>
        <v/>
      </c>
      <c r="R137" t="str">
        <f>IFERROR(INDEX(TabInst[INSTITUIÇÃO],MATCH(LO[[#This Row],[INSTITUIÇÃO]],TabInst[DESCRIÇÃO],0)),"")</f>
        <v/>
      </c>
      <c r="S137" t="str">
        <f>PROPER(TEXT(LO[[#This Row],[DT Venc]],"MMM"))</f>
        <v>Sep</v>
      </c>
      <c r="T137">
        <f>YEAR(LO[[#This Row],[DT Venc]])</f>
        <v>2026</v>
      </c>
      <c r="U137" t="str">
        <f>IFERROR(VLOOKUP(LO[[#This Row],[CATEGORIA]],TabCategoria[],2,FALSE),"")</f>
        <v/>
      </c>
      <c r="V137" t="str">
        <f>IF(LO[[#This Row],[CONTA/CARTAO]]="Cartão","Cartão",IF(LO[[#This Row],[CATEGORIA]]="Pagamento de Cartão","Fatura",""))</f>
        <v/>
      </c>
      <c r="W137">
        <f>IF(LO[[#This Row],[Tipo]]="Receita",LO[[#This Row],[Valor]],IF(LO[[#This Row],[Tipo]]="Despesa",-LO[[#This Row],[Valor]],0))</f>
        <v>-50</v>
      </c>
    </row>
    <row r="138" spans="2:23" hidden="1" x14ac:dyDescent="0.3">
      <c r="B138" s="11">
        <v>46235</v>
      </c>
      <c r="C138" s="11">
        <v>46266</v>
      </c>
      <c r="D138" t="s">
        <v>292</v>
      </c>
      <c r="E138" s="28">
        <v>150</v>
      </c>
      <c r="F138" t="s">
        <v>284</v>
      </c>
      <c r="G138" t="s">
        <v>280</v>
      </c>
      <c r="H138" t="s">
        <v>313</v>
      </c>
      <c r="J138" t="str">
        <f>IFERROR(VLOOKUP(LO[[#This Row],[Descrição]],TabCategoria[],2,FALSE),"")</f>
        <v>NÃO OPERACIONAL</v>
      </c>
      <c r="K138" t="str">
        <f>IFERROR(VLOOKUP(LO[[#This Row],[Descrição]],TabCategoria[],3,FALSE),"")</f>
        <v>DESPESA</v>
      </c>
      <c r="L138" t="str">
        <f>IFERROR(VLOOKUP(LO[[#This Row],[Descrição]],TabCategoria[],4,FALSE),"")</f>
        <v>Lazer</v>
      </c>
      <c r="M138" t="str">
        <f>IFERROR(VLOOKUP(LO[[#This Row],[Descrição]],TabCategoria[],5,FALSE),"")</f>
        <v>PLACA MAE</v>
      </c>
      <c r="N138">
        <f>SUMIFS(TabCategoria[Meta Mês],TabCategoria[Categoria],LO[[#This Row],[CATEGORIA]])</f>
        <v>0</v>
      </c>
      <c r="O138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3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8" t="str">
        <f>IFERROR(INDEX(TabInst[TIPO],MATCH(LO[[#This Row],[INSTITUIÇÃO]],TabInst[DESCRIÇÃO],0)),"")</f>
        <v/>
      </c>
      <c r="R138" t="str">
        <f>IFERROR(INDEX(TabInst[INSTITUIÇÃO],MATCH(LO[[#This Row],[INSTITUIÇÃO]],TabInst[DESCRIÇÃO],0)),"")</f>
        <v/>
      </c>
      <c r="S138" t="str">
        <f>PROPER(TEXT(LO[[#This Row],[DT Venc]],"MMM"))</f>
        <v>Sep</v>
      </c>
      <c r="T138">
        <f>YEAR(LO[[#This Row],[DT Venc]])</f>
        <v>2026</v>
      </c>
      <c r="U138" t="str">
        <f>IFERROR(VLOOKUP(LO[[#This Row],[CATEGORIA]],TabCategoria[],2,FALSE),"")</f>
        <v/>
      </c>
      <c r="V138" t="str">
        <f>IF(LO[[#This Row],[CONTA/CARTAO]]="Cartão","Cartão",IF(LO[[#This Row],[CATEGORIA]]="Pagamento de Cartão","Fatura",""))</f>
        <v/>
      </c>
      <c r="W138">
        <f>IF(LO[[#This Row],[Tipo]]="Receita",LO[[#This Row],[Valor]],IF(LO[[#This Row],[Tipo]]="Despesa",-LO[[#This Row],[Valor]],0))</f>
        <v>-150</v>
      </c>
    </row>
    <row r="139" spans="2:23" hidden="1" x14ac:dyDescent="0.3">
      <c r="B139" s="11">
        <v>46235</v>
      </c>
      <c r="C139" s="11">
        <v>46266</v>
      </c>
      <c r="D139" t="s">
        <v>293</v>
      </c>
      <c r="E139" s="28">
        <v>136</v>
      </c>
      <c r="F139" t="s">
        <v>284</v>
      </c>
      <c r="G139" t="s">
        <v>280</v>
      </c>
      <c r="H139" t="s">
        <v>313</v>
      </c>
      <c r="J139" t="str">
        <f>IFERROR(VLOOKUP(LO[[#This Row],[Descrição]],TabCategoria[],2,FALSE),"")</f>
        <v>NÃO OPERACIONAL</v>
      </c>
      <c r="K139" t="str">
        <f>IFERROR(VLOOKUP(LO[[#This Row],[Descrição]],TabCategoria[],3,FALSE),"")</f>
        <v>DESPESA</v>
      </c>
      <c r="L139" t="str">
        <f>IFERROR(VLOOKUP(LO[[#This Row],[Descrição]],TabCategoria[],4,FALSE),"")</f>
        <v>Lazer</v>
      </c>
      <c r="M139" t="str">
        <f>IFERROR(VLOOKUP(LO[[#This Row],[Descrição]],TabCategoria[],5,FALSE),"")</f>
        <v>PROCESSADOR</v>
      </c>
      <c r="N139">
        <f>SUMIFS(TabCategoria[Meta Mês],TabCategoria[Categoria],LO[[#This Row],[CATEGORIA]])</f>
        <v>0</v>
      </c>
      <c r="O139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3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39" t="str">
        <f>IFERROR(INDEX(TabInst[TIPO],MATCH(LO[[#This Row],[INSTITUIÇÃO]],TabInst[DESCRIÇÃO],0)),"")</f>
        <v/>
      </c>
      <c r="R139" t="str">
        <f>IFERROR(INDEX(TabInst[INSTITUIÇÃO],MATCH(LO[[#This Row],[INSTITUIÇÃO]],TabInst[DESCRIÇÃO],0)),"")</f>
        <v/>
      </c>
      <c r="S139" t="str">
        <f>PROPER(TEXT(LO[[#This Row],[DT Venc]],"MMM"))</f>
        <v>Sep</v>
      </c>
      <c r="T139">
        <f>YEAR(LO[[#This Row],[DT Venc]])</f>
        <v>2026</v>
      </c>
      <c r="U139" t="str">
        <f>IFERROR(VLOOKUP(LO[[#This Row],[CATEGORIA]],TabCategoria[],2,FALSE),"")</f>
        <v/>
      </c>
      <c r="V139" t="str">
        <f>IF(LO[[#This Row],[CONTA/CARTAO]]="Cartão","Cartão",IF(LO[[#This Row],[CATEGORIA]]="Pagamento de Cartão","Fatura",""))</f>
        <v/>
      </c>
      <c r="W139">
        <f>IF(LO[[#This Row],[Tipo]]="Receita",LO[[#This Row],[Valor]],IF(LO[[#This Row],[Tipo]]="Despesa",-LO[[#This Row],[Valor]],0))</f>
        <v>-136</v>
      </c>
    </row>
    <row r="140" spans="2:23" hidden="1" x14ac:dyDescent="0.3">
      <c r="B140" s="11">
        <v>46235</v>
      </c>
      <c r="C140" s="11">
        <v>46266</v>
      </c>
      <c r="D140" t="s">
        <v>294</v>
      </c>
      <c r="E140" s="28">
        <v>66.900000000000006</v>
      </c>
      <c r="F140" t="s">
        <v>284</v>
      </c>
      <c r="G140" t="s">
        <v>280</v>
      </c>
      <c r="H140" t="s">
        <v>313</v>
      </c>
      <c r="J140" t="str">
        <f>IFERROR(VLOOKUP(LO[[#This Row],[Descrição]],TabCategoria[],2,FALSE),"")</f>
        <v>NÃO OPERACIONAL</v>
      </c>
      <c r="K140" t="str">
        <f>IFERROR(VLOOKUP(LO[[#This Row],[Descrição]],TabCategoria[],3,FALSE),"")</f>
        <v>DESPESA</v>
      </c>
      <c r="L140" t="str">
        <f>IFERROR(VLOOKUP(LO[[#This Row],[Descrição]],TabCategoria[],4,FALSE),"")</f>
        <v>Lazer</v>
      </c>
      <c r="M140" t="str">
        <f>IFERROR(VLOOKUP(LO[[#This Row],[Descrição]],TabCategoria[],5,FALSE),"")</f>
        <v>APPLE</v>
      </c>
      <c r="N140">
        <f>SUMIFS(TabCategoria[Meta Mês],TabCategoria[Categoria],LO[[#This Row],[CATEGORIA]])</f>
        <v>0</v>
      </c>
      <c r="O140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4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0" t="str">
        <f>IFERROR(INDEX(TabInst[TIPO],MATCH(LO[[#This Row],[INSTITUIÇÃO]],TabInst[DESCRIÇÃO],0)),"")</f>
        <v/>
      </c>
      <c r="R140" t="str">
        <f>IFERROR(INDEX(TabInst[INSTITUIÇÃO],MATCH(LO[[#This Row],[INSTITUIÇÃO]],TabInst[DESCRIÇÃO],0)),"")</f>
        <v/>
      </c>
      <c r="S140" t="str">
        <f>PROPER(TEXT(LO[[#This Row],[DT Venc]],"MMM"))</f>
        <v>Sep</v>
      </c>
      <c r="T140">
        <f>YEAR(LO[[#This Row],[DT Venc]])</f>
        <v>2026</v>
      </c>
      <c r="U140" t="str">
        <f>IFERROR(VLOOKUP(LO[[#This Row],[CATEGORIA]],TabCategoria[],2,FALSE),"")</f>
        <v/>
      </c>
      <c r="V140" t="str">
        <f>IF(LO[[#This Row],[CONTA/CARTAO]]="Cartão","Cartão",IF(LO[[#This Row],[CATEGORIA]]="Pagamento de Cartão","Fatura",""))</f>
        <v/>
      </c>
      <c r="W140">
        <f>IF(LO[[#This Row],[Tipo]]="Receita",LO[[#This Row],[Valor]],IF(LO[[#This Row],[Tipo]]="Despesa",-LO[[#This Row],[Valor]],0))</f>
        <v>-66.900000000000006</v>
      </c>
    </row>
    <row r="141" spans="2:23" hidden="1" x14ac:dyDescent="0.3">
      <c r="B141" s="11">
        <v>46235</v>
      </c>
      <c r="C141" s="11">
        <v>46266</v>
      </c>
      <c r="D141" t="s">
        <v>292</v>
      </c>
      <c r="E141" s="28">
        <v>120</v>
      </c>
      <c r="F141" t="s">
        <v>284</v>
      </c>
      <c r="G141" t="s">
        <v>280</v>
      </c>
      <c r="H141" t="s">
        <v>313</v>
      </c>
      <c r="J141" t="str">
        <f>IFERROR(VLOOKUP(LO[[#This Row],[Descrição]],TabCategoria[],2,FALSE),"")</f>
        <v>NÃO OPERACIONAL</v>
      </c>
      <c r="K141" t="str">
        <f>IFERROR(VLOOKUP(LO[[#This Row],[Descrição]],TabCategoria[],3,FALSE),"")</f>
        <v>DESPESA</v>
      </c>
      <c r="L141" t="str">
        <f>IFERROR(VLOOKUP(LO[[#This Row],[Descrição]],TabCategoria[],4,FALSE),"")</f>
        <v>Lazer</v>
      </c>
      <c r="M141" t="str">
        <f>IFERROR(VLOOKUP(LO[[#This Row],[Descrição]],TabCategoria[],5,FALSE),"")</f>
        <v>PLACA MAE</v>
      </c>
      <c r="N141">
        <f>SUMIFS(TabCategoria[Meta Mês],TabCategoria[Categoria],LO[[#This Row],[CATEGORIA]])</f>
        <v>0</v>
      </c>
      <c r="O141" s="68">
        <f>SUMIFS(LO[Valor],LO[CATEGORIA],LO[[#This Row],[CATEGORIA]],LO[ANO],LO[[#This Row],[ANO]],LO[MÊS],LO[[#This Row],[MÊS]])
/COUNTIFS(LO[CATEGORIA],LO[[#This Row],[CATEGORIA]],LO[ANO],LO[[#This Row],[ANO]],LO[MÊS],LO[[#This Row],[MÊS]])</f>
        <v>115.38571428571427</v>
      </c>
      <c r="P14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1" t="str">
        <f>IFERROR(INDEX(TabInst[TIPO],MATCH(LO[[#This Row],[INSTITUIÇÃO]],TabInst[DESCRIÇÃO],0)),"")</f>
        <v/>
      </c>
      <c r="R141" t="str">
        <f>IFERROR(INDEX(TabInst[INSTITUIÇÃO],MATCH(LO[[#This Row],[INSTITUIÇÃO]],TabInst[DESCRIÇÃO],0)),"")</f>
        <v/>
      </c>
      <c r="S141" t="str">
        <f>PROPER(TEXT(LO[[#This Row],[DT Venc]],"MMM"))</f>
        <v>Sep</v>
      </c>
      <c r="T141">
        <f>YEAR(LO[[#This Row],[DT Venc]])</f>
        <v>2026</v>
      </c>
      <c r="U141" t="str">
        <f>IFERROR(VLOOKUP(LO[[#This Row],[CATEGORIA]],TabCategoria[],2,FALSE),"")</f>
        <v/>
      </c>
      <c r="V141" t="str">
        <f>IF(LO[[#This Row],[CONTA/CARTAO]]="Cartão","Cartão",IF(LO[[#This Row],[CATEGORIA]]="Pagamento de Cartão","Fatura",""))</f>
        <v/>
      </c>
      <c r="W141">
        <f>IF(LO[[#This Row],[Tipo]]="Receita",LO[[#This Row],[Valor]],IF(LO[[#This Row],[Tipo]]="Despesa",-LO[[#This Row],[Valor]],0))</f>
        <v>-120</v>
      </c>
    </row>
    <row r="142" spans="2:23" hidden="1" x14ac:dyDescent="0.3">
      <c r="B142" s="11">
        <v>46143</v>
      </c>
      <c r="C142" s="11">
        <v>46266</v>
      </c>
      <c r="D142" t="s">
        <v>323</v>
      </c>
      <c r="E142" s="72">
        <v>276</v>
      </c>
      <c r="F142" t="s">
        <v>284</v>
      </c>
      <c r="G142" t="s">
        <v>281</v>
      </c>
      <c r="H142" t="s">
        <v>313</v>
      </c>
      <c r="I142" t="s">
        <v>325</v>
      </c>
      <c r="J142" t="str">
        <f>IFERROR(VLOOKUP(LO[[#This Row],[Descrição]],TabCategoria[],2,FALSE),"")</f>
        <v>NÃO OPERACIONAL</v>
      </c>
      <c r="K142" t="str">
        <f>IFERROR(VLOOKUP(LO[[#This Row],[Descrição]],TabCategoria[],3,FALSE),"")</f>
        <v>DESPESA</v>
      </c>
      <c r="L142" t="str">
        <f>IFERROR(VLOOKUP(LO[[#This Row],[Descrição]],TabCategoria[],4,FALSE),"")</f>
        <v>Empréstimo</v>
      </c>
      <c r="M142" t="str">
        <f>IFERROR(VLOOKUP(LO[[#This Row],[Descrição]],TabCategoria[],5,FALSE),"")</f>
        <v>Parcelamento Cartão de Crédito</v>
      </c>
      <c r="N142">
        <f>SUMIFS(TabCategoria[Meta Mês],TabCategoria[Categoria],LO[[#This Row],[CATEGORIA]])</f>
        <v>0</v>
      </c>
      <c r="O142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4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2" t="str">
        <f>IFERROR(INDEX(TabInst[TIPO],MATCH(LO[[#This Row],[INSTITUIÇÃO]],TabInst[DESCRIÇÃO],0)),"")</f>
        <v/>
      </c>
      <c r="R142" t="str">
        <f>IFERROR(INDEX(TabInst[INSTITUIÇÃO],MATCH(LO[[#This Row],[INSTITUIÇÃO]],TabInst[DESCRIÇÃO],0)),"")</f>
        <v/>
      </c>
      <c r="S142" t="str">
        <f>PROPER(TEXT(LO[[#This Row],[DT Venc]],"MMM"))</f>
        <v>Sep</v>
      </c>
      <c r="T142">
        <f>YEAR(LO[[#This Row],[DT Venc]])</f>
        <v>2026</v>
      </c>
      <c r="U142" t="str">
        <f>IFERROR(VLOOKUP(LO[[#This Row],[CATEGORIA]],TabCategoria[],2,FALSE),"")</f>
        <v/>
      </c>
      <c r="V142" t="str">
        <f>IF(LO[[#This Row],[CONTA/CARTAO]]="Cartão","Cartão",IF(LO[[#This Row],[CATEGORIA]]="Pagamento de Cartão","Fatura",""))</f>
        <v/>
      </c>
      <c r="W142">
        <f>IF(LO[[#This Row],[Tipo]]="Receita",LO[[#This Row],[Valor]],IF(LO[[#This Row],[Tipo]]="Despesa",-LO[[#This Row],[Valor]],0))</f>
        <v>-276</v>
      </c>
    </row>
    <row r="143" spans="2:23" hidden="1" x14ac:dyDescent="0.3">
      <c r="B143" s="11">
        <v>46125</v>
      </c>
      <c r="C143" s="11">
        <v>46275</v>
      </c>
      <c r="D143" t="s">
        <v>326</v>
      </c>
      <c r="E143" s="28">
        <v>391</v>
      </c>
      <c r="F143" t="s">
        <v>353</v>
      </c>
      <c r="G143" t="s">
        <v>354</v>
      </c>
      <c r="H143" t="s">
        <v>313</v>
      </c>
      <c r="I143" t="s">
        <v>352</v>
      </c>
      <c r="J143" t="str">
        <f>IFERROR(VLOOKUP(LO[[#This Row],[Descrição]],TabCategoria[],2,FALSE),"")</f>
        <v>NÃO OPERACIONAL</v>
      </c>
      <c r="K143" t="str">
        <f>IFERROR(VLOOKUP(LO[[#This Row],[Descrição]],TabCategoria[],3,FALSE),"")</f>
        <v>DESPESA</v>
      </c>
      <c r="L143" t="str">
        <f>IFERROR(VLOOKUP(LO[[#This Row],[Descrição]],TabCategoria[],4,FALSE),"")</f>
        <v>Empréstimo</v>
      </c>
      <c r="M143" t="str">
        <f>IFERROR(VLOOKUP(LO[[#This Row],[Descrição]],TabCategoria[],5,FALSE),"")</f>
        <v>Empréstimo Pessoal - Banco</v>
      </c>
      <c r="N143">
        <f>SUMIFS(TabCategoria[Meta Mês],TabCategoria[Categoria],LO[[#This Row],[CATEGORIA]])</f>
        <v>0</v>
      </c>
      <c r="O143" s="68">
        <f>SUMIFS(LO[Valor],LO[CATEGORIA],LO[[#This Row],[CATEGORIA]],LO[ANO],LO[[#This Row],[ANO]],LO[MÊS],LO[[#This Row],[MÊS]])
/COUNTIFS(LO[CATEGORIA],LO[[#This Row],[CATEGORIA]],LO[ANO],LO[[#This Row],[ANO]],LO[MÊS],LO[[#This Row],[MÊS]])</f>
        <v>252.42000000000002</v>
      </c>
      <c r="P14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3" t="str">
        <f>IFERROR(INDEX(TabInst[TIPO],MATCH(LO[[#This Row],[INSTITUIÇÃO]],TabInst[DESCRIÇÃO],0)),"")</f>
        <v/>
      </c>
      <c r="R143" t="str">
        <f>IFERROR(INDEX(TabInst[INSTITUIÇÃO],MATCH(LO[[#This Row],[INSTITUIÇÃO]],TabInst[DESCRIÇÃO],0)),"")</f>
        <v/>
      </c>
      <c r="S143" t="str">
        <f>PROPER(TEXT(LO[[#This Row],[DT Venc]],"MMM"))</f>
        <v>Sep</v>
      </c>
      <c r="T143">
        <f>YEAR(LO[[#This Row],[DT Venc]])</f>
        <v>2026</v>
      </c>
      <c r="U143" t="str">
        <f>IFERROR(VLOOKUP(LO[[#This Row],[CATEGORIA]],TabCategoria[],2,FALSE),"")</f>
        <v/>
      </c>
      <c r="V143" t="str">
        <f>IF(LO[[#This Row],[CONTA/CARTAO]]="Cartão","Cartão",IF(LO[[#This Row],[CATEGORIA]]="Pagamento de Cartão","Fatura",""))</f>
        <v/>
      </c>
      <c r="W143">
        <f>IF(LO[[#This Row],[Tipo]]="Receita",LO[[#This Row],[Valor]],IF(LO[[#This Row],[Tipo]]="Despesa",-LO[[#This Row],[Valor]],0))</f>
        <v>-391</v>
      </c>
    </row>
    <row r="144" spans="2:23" hidden="1" x14ac:dyDescent="0.3">
      <c r="B144" s="11">
        <v>46266</v>
      </c>
      <c r="C144" s="11">
        <v>46296</v>
      </c>
      <c r="D144" t="s">
        <v>302</v>
      </c>
      <c r="E144" s="28">
        <v>2927</v>
      </c>
      <c r="F144" t="s">
        <v>284</v>
      </c>
      <c r="G144" t="s">
        <v>337</v>
      </c>
      <c r="H144" t="s">
        <v>313</v>
      </c>
      <c r="J144" t="str">
        <f>IFERROR(VLOOKUP(LO[[#This Row],[Descrição]],TabCategoria[],2,FALSE),"")</f>
        <v>OPERACIONAL</v>
      </c>
      <c r="K144" t="str">
        <f>IFERROR(VLOOKUP(LO[[#This Row],[Descrição]],TabCategoria[],3,FALSE),"")</f>
        <v>RECEITA</v>
      </c>
      <c r="L144" t="str">
        <f>IFERROR(VLOOKUP(LO[[#This Row],[Descrição]],TabCategoria[],4,FALSE),"")</f>
        <v>Renda Principal</v>
      </c>
      <c r="M144" t="str">
        <f>IFERROR(VLOOKUP(LO[[#This Row],[Descrição]],TabCategoria[],5,FALSE),"")</f>
        <v>Salário Principal</v>
      </c>
      <c r="N144">
        <f>SUMIFS(TabCategoria[Meta Mês],TabCategoria[Categoria],LO[[#This Row],[CATEGORIA]])</f>
        <v>0</v>
      </c>
      <c r="O144" s="68">
        <f>SUMIFS(LO[Valor],LO[CATEGORIA],LO[[#This Row],[CATEGORIA]],LO[ANO],LO[[#This Row],[ANO]],LO[MÊS],LO[[#This Row],[MÊS]])
/COUNTIFS(LO[CATEGORIA],LO[[#This Row],[CATEGORIA]],LO[ANO],LO[[#This Row],[ANO]],LO[MÊS],LO[[#This Row],[MÊS]])</f>
        <v>2927</v>
      </c>
      <c r="P14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4" t="str">
        <f>IFERROR(INDEX(TabInst[TIPO],MATCH(LO[[#This Row],[INSTITUIÇÃO]],TabInst[DESCRIÇÃO],0)),"")</f>
        <v/>
      </c>
      <c r="R144" t="str">
        <f>IFERROR(INDEX(TabInst[INSTITUIÇÃO],MATCH(LO[[#This Row],[INSTITUIÇÃO]],TabInst[DESCRIÇÃO],0)),"")</f>
        <v/>
      </c>
      <c r="S144" t="str">
        <f>PROPER(TEXT(LO[[#This Row],[DT Venc]],"MMM"))</f>
        <v>Oct</v>
      </c>
      <c r="T144">
        <f>YEAR(LO[[#This Row],[DT Venc]])</f>
        <v>2026</v>
      </c>
      <c r="U144" t="str">
        <f>IFERROR(VLOOKUP(LO[[#This Row],[CATEGORIA]],TabCategoria[],2,FALSE),"")</f>
        <v/>
      </c>
      <c r="V144" t="str">
        <f>IF(LO[[#This Row],[CONTA/CARTAO]]="Cartão","Cartão",IF(LO[[#This Row],[CATEGORIA]]="Pagamento de Cartão","Fatura",""))</f>
        <v/>
      </c>
      <c r="W144">
        <f>IF(LO[[#This Row],[Tipo]]="Receita",LO[[#This Row],[Valor]],IF(LO[[#This Row],[Tipo]]="Despesa",-LO[[#This Row],[Valor]],0))</f>
        <v>2927</v>
      </c>
    </row>
    <row r="145" spans="2:23" hidden="1" x14ac:dyDescent="0.3">
      <c r="B145" s="11">
        <v>46266</v>
      </c>
      <c r="C145" s="11">
        <v>46296</v>
      </c>
      <c r="D145" t="s">
        <v>326</v>
      </c>
      <c r="E145" s="28">
        <v>188.68</v>
      </c>
      <c r="F145" t="s">
        <v>284</v>
      </c>
      <c r="G145" t="s">
        <v>282</v>
      </c>
      <c r="H145" t="s">
        <v>313</v>
      </c>
      <c r="J145" t="str">
        <f>IFERROR(VLOOKUP(LO[[#This Row],[Descrição]],TabCategoria[],2,FALSE),"")</f>
        <v>NÃO OPERACIONAL</v>
      </c>
      <c r="K145" t="str">
        <f>IFERROR(VLOOKUP(LO[[#This Row],[Descrição]],TabCategoria[],3,FALSE),"")</f>
        <v>DESPESA</v>
      </c>
      <c r="L145" t="str">
        <f>IFERROR(VLOOKUP(LO[[#This Row],[Descrição]],TabCategoria[],4,FALSE),"")</f>
        <v>Empréstimo</v>
      </c>
      <c r="M145" t="str">
        <f>IFERROR(VLOOKUP(LO[[#This Row],[Descrição]],TabCategoria[],5,FALSE),"")</f>
        <v>Empréstimo Pessoal - Banco</v>
      </c>
      <c r="N145">
        <f>SUMIFS(TabCategoria[Meta Mês],TabCategoria[Categoria],LO[[#This Row],[CATEGORIA]])</f>
        <v>0</v>
      </c>
      <c r="O145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14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5" t="str">
        <f>IFERROR(INDEX(TabInst[TIPO],MATCH(LO[[#This Row],[INSTITUIÇÃO]],TabInst[DESCRIÇÃO],0)),"")</f>
        <v/>
      </c>
      <c r="R145" t="str">
        <f>IFERROR(INDEX(TabInst[INSTITUIÇÃO],MATCH(LO[[#This Row],[INSTITUIÇÃO]],TabInst[DESCRIÇÃO],0)),"")</f>
        <v/>
      </c>
      <c r="S145" t="str">
        <f>PROPER(TEXT(LO[[#This Row],[DT Venc]],"MMM"))</f>
        <v>Oct</v>
      </c>
      <c r="T145">
        <f>YEAR(LO[[#This Row],[DT Venc]])</f>
        <v>2026</v>
      </c>
      <c r="U145" t="str">
        <f>IFERROR(VLOOKUP(LO[[#This Row],[CATEGORIA]],TabCategoria[],2,FALSE),"")</f>
        <v/>
      </c>
      <c r="V145" t="str">
        <f>IF(LO[[#This Row],[CONTA/CARTAO]]="Cartão","Cartão",IF(LO[[#This Row],[CATEGORIA]]="Pagamento de Cartão","Fatura",""))</f>
        <v/>
      </c>
      <c r="W145">
        <f>IF(LO[[#This Row],[Tipo]]="Receita",LO[[#This Row],[Valor]],IF(LO[[#This Row],[Tipo]]="Despesa",-LO[[#This Row],[Valor]],0))</f>
        <v>-188.68</v>
      </c>
    </row>
    <row r="146" spans="2:23" hidden="1" x14ac:dyDescent="0.3">
      <c r="B146" s="11">
        <v>46266</v>
      </c>
      <c r="C146" s="11">
        <v>46296</v>
      </c>
      <c r="D146" t="s">
        <v>318</v>
      </c>
      <c r="E146" s="28">
        <v>250</v>
      </c>
      <c r="F146" t="s">
        <v>284</v>
      </c>
      <c r="G146" t="s">
        <v>280</v>
      </c>
      <c r="H146" t="s">
        <v>313</v>
      </c>
      <c r="J146" t="str">
        <f>IFERROR(VLOOKUP(LO[[#This Row],[Descrição]],TabCategoria[],2,FALSE),"")</f>
        <v>OPERACIONAL</v>
      </c>
      <c r="K146" t="str">
        <f>IFERROR(VLOOKUP(LO[[#This Row],[Descrição]],TabCategoria[],3,FALSE),"")</f>
        <v>DESPESA</v>
      </c>
      <c r="L146" t="str">
        <f>IFERROR(VLOOKUP(LO[[#This Row],[Descrição]],TabCategoria[],4,FALSE),"")</f>
        <v>Moradia</v>
      </c>
      <c r="M146" t="str">
        <f>IFERROR(VLOOKUP(LO[[#This Row],[Descrição]],TabCategoria[],5,FALSE),"")</f>
        <v>Água</v>
      </c>
      <c r="N146">
        <f>SUMIFS(TabCategoria[Meta Mês],TabCategoria[Categoria],LO[[#This Row],[CATEGORIA]])</f>
        <v>0</v>
      </c>
      <c r="O146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14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6" t="str">
        <f>IFERROR(INDEX(TabInst[TIPO],MATCH(LO[[#This Row],[INSTITUIÇÃO]],TabInst[DESCRIÇÃO],0)),"")</f>
        <v/>
      </c>
      <c r="R146" t="str">
        <f>IFERROR(INDEX(TabInst[INSTITUIÇÃO],MATCH(LO[[#This Row],[INSTITUIÇÃO]],TabInst[DESCRIÇÃO],0)),"")</f>
        <v/>
      </c>
      <c r="S146" t="str">
        <f>PROPER(TEXT(LO[[#This Row],[DT Venc]],"MMM"))</f>
        <v>Oct</v>
      </c>
      <c r="T146">
        <f>YEAR(LO[[#This Row],[DT Venc]])</f>
        <v>2026</v>
      </c>
      <c r="U146" t="str">
        <f>IFERROR(VLOOKUP(LO[[#This Row],[CATEGORIA]],TabCategoria[],2,FALSE),"")</f>
        <v/>
      </c>
      <c r="V146" t="str">
        <f>IF(LO[[#This Row],[CONTA/CARTAO]]="Cartão","Cartão",IF(LO[[#This Row],[CATEGORIA]]="Pagamento de Cartão","Fatura",""))</f>
        <v/>
      </c>
      <c r="W146">
        <f>IF(LO[[#This Row],[Tipo]]="Receita",LO[[#This Row],[Valor]],IF(LO[[#This Row],[Tipo]]="Despesa",-LO[[#This Row],[Valor]],0))</f>
        <v>-250</v>
      </c>
    </row>
    <row r="147" spans="2:23" hidden="1" x14ac:dyDescent="0.3">
      <c r="B147" s="11">
        <v>46266</v>
      </c>
      <c r="C147" s="11">
        <v>46296</v>
      </c>
      <c r="D147" t="s">
        <v>319</v>
      </c>
      <c r="E147" s="28">
        <v>150</v>
      </c>
      <c r="F147" t="s">
        <v>284</v>
      </c>
      <c r="G147" t="s">
        <v>280</v>
      </c>
      <c r="H147" t="s">
        <v>313</v>
      </c>
      <c r="J147" t="str">
        <f>IFERROR(VLOOKUP(LO[[#This Row],[Descrição]],TabCategoria[],2,FALSE),"")</f>
        <v>OPERACIONAL</v>
      </c>
      <c r="K147" t="str">
        <f>IFERROR(VLOOKUP(LO[[#This Row],[Descrição]],TabCategoria[],3,FALSE),"")</f>
        <v>DESPESA</v>
      </c>
      <c r="L147" t="str">
        <f>IFERROR(VLOOKUP(LO[[#This Row],[Descrição]],TabCategoria[],4,FALSE),"")</f>
        <v>Transporte</v>
      </c>
      <c r="M147" t="str">
        <f>IFERROR(VLOOKUP(LO[[#This Row],[Descrição]],TabCategoria[],5,FALSE),"")</f>
        <v>Combustível</v>
      </c>
      <c r="N147">
        <f>SUMIFS(TabCategoria[Meta Mês],TabCategoria[Categoria],LO[[#This Row],[CATEGORIA]])</f>
        <v>0</v>
      </c>
      <c r="O147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14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7" t="str">
        <f>IFERROR(INDEX(TabInst[TIPO],MATCH(LO[[#This Row],[INSTITUIÇÃO]],TabInst[DESCRIÇÃO],0)),"")</f>
        <v/>
      </c>
      <c r="R147" t="str">
        <f>IFERROR(INDEX(TabInst[INSTITUIÇÃO],MATCH(LO[[#This Row],[INSTITUIÇÃO]],TabInst[DESCRIÇÃO],0)),"")</f>
        <v/>
      </c>
      <c r="S147" t="str">
        <f>PROPER(TEXT(LO[[#This Row],[DT Venc]],"MMM"))</f>
        <v>Oct</v>
      </c>
      <c r="T147">
        <f>YEAR(LO[[#This Row],[DT Venc]])</f>
        <v>2026</v>
      </c>
      <c r="U147" t="str">
        <f>IFERROR(VLOOKUP(LO[[#This Row],[CATEGORIA]],TabCategoria[],2,FALSE),"")</f>
        <v/>
      </c>
      <c r="V147" t="str">
        <f>IF(LO[[#This Row],[CONTA/CARTAO]]="Cartão","Cartão",IF(LO[[#This Row],[CATEGORIA]]="Pagamento de Cartão","Fatura",""))</f>
        <v/>
      </c>
      <c r="W147">
        <f>IF(LO[[#This Row],[Tipo]]="Receita",LO[[#This Row],[Valor]],IF(LO[[#This Row],[Tipo]]="Despesa",-LO[[#This Row],[Valor]],0))</f>
        <v>-150</v>
      </c>
    </row>
    <row r="148" spans="2:23" hidden="1" x14ac:dyDescent="0.3">
      <c r="B148" s="11">
        <v>46266</v>
      </c>
      <c r="C148" s="11">
        <v>46296</v>
      </c>
      <c r="D148" t="s">
        <v>286</v>
      </c>
      <c r="E148" s="28">
        <v>45</v>
      </c>
      <c r="F148" t="s">
        <v>284</v>
      </c>
      <c r="G148" t="s">
        <v>281</v>
      </c>
      <c r="H148" t="s">
        <v>313</v>
      </c>
      <c r="J148" t="str">
        <f>IFERROR(VLOOKUP(LO[[#This Row],[Descrição]],TabCategoria[],2,FALSE),"")</f>
        <v>OPERACIONAL</v>
      </c>
      <c r="K148" t="str">
        <f>IFERROR(VLOOKUP(LO[[#This Row],[Descrição]],TabCategoria[],3,FALSE),"")</f>
        <v>DESPESA</v>
      </c>
      <c r="L148" t="str">
        <f>IFERROR(VLOOKUP(LO[[#This Row],[Descrição]],TabCategoria[],4,FALSE),"")</f>
        <v>Comunicação</v>
      </c>
      <c r="M148" t="str">
        <f>IFERROR(VLOOKUP(LO[[#This Row],[Descrição]],TabCategoria[],5,FALSE),"")</f>
        <v>Internet</v>
      </c>
      <c r="N148">
        <f>SUMIFS(TabCategoria[Meta Mês],TabCategoria[Categoria],LO[[#This Row],[CATEGORIA]])</f>
        <v>0</v>
      </c>
      <c r="O148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4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8" t="str">
        <f>IFERROR(INDEX(TabInst[TIPO],MATCH(LO[[#This Row],[INSTITUIÇÃO]],TabInst[DESCRIÇÃO],0)),"")</f>
        <v/>
      </c>
      <c r="R148" t="str">
        <f>IFERROR(INDEX(TabInst[INSTITUIÇÃO],MATCH(LO[[#This Row],[INSTITUIÇÃO]],TabInst[DESCRIÇÃO],0)),"")</f>
        <v/>
      </c>
      <c r="S148" t="str">
        <f>PROPER(TEXT(LO[[#This Row],[DT Venc]],"MMM"))</f>
        <v>Oct</v>
      </c>
      <c r="T148">
        <f>YEAR(LO[[#This Row],[DT Venc]])</f>
        <v>2026</v>
      </c>
      <c r="U148" t="str">
        <f>IFERROR(VLOOKUP(LO[[#This Row],[CATEGORIA]],TabCategoria[],2,FALSE),"")</f>
        <v/>
      </c>
      <c r="V148" t="str">
        <f>IF(LO[[#This Row],[CONTA/CARTAO]]="Cartão","Cartão",IF(LO[[#This Row],[CATEGORIA]]="Pagamento de Cartão","Fatura",""))</f>
        <v/>
      </c>
      <c r="W148">
        <f>IF(LO[[#This Row],[Tipo]]="Receita",LO[[#This Row],[Valor]],IF(LO[[#This Row],[Tipo]]="Despesa",-LO[[#This Row],[Valor]],0))</f>
        <v>-45</v>
      </c>
    </row>
    <row r="149" spans="2:23" hidden="1" x14ac:dyDescent="0.3">
      <c r="B149" s="11">
        <v>46266</v>
      </c>
      <c r="C149" s="11">
        <v>46296</v>
      </c>
      <c r="D149" t="s">
        <v>287</v>
      </c>
      <c r="E149" s="28">
        <v>137</v>
      </c>
      <c r="F149" t="s">
        <v>284</v>
      </c>
      <c r="G149" t="s">
        <v>280</v>
      </c>
      <c r="H149" t="s">
        <v>313</v>
      </c>
      <c r="J149" t="str">
        <f>IFERROR(VLOOKUP(LO[[#This Row],[Descrição]],TabCategoria[],2,FALSE),"")</f>
        <v>NÃO OPERACIONAL</v>
      </c>
      <c r="K149" t="str">
        <f>IFERROR(VLOOKUP(LO[[#This Row],[Descrição]],TabCategoria[],3,FALSE),"")</f>
        <v>DESPESA</v>
      </c>
      <c r="L149" t="str">
        <f>IFERROR(VLOOKUP(LO[[#This Row],[Descrição]],TabCategoria[],4,FALSE),"")</f>
        <v>Pessoais</v>
      </c>
      <c r="M149" t="str">
        <f>IFERROR(VLOOKUP(LO[[#This Row],[Descrição]],TabCategoria[],5,FALSE),"")</f>
        <v>INTERNET CELULAR</v>
      </c>
      <c r="N149">
        <f>SUMIFS(TabCategoria[Meta Mês],TabCategoria[Categoria],LO[[#This Row],[CATEGORIA]])</f>
        <v>0</v>
      </c>
      <c r="O149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14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49" t="str">
        <f>IFERROR(INDEX(TabInst[TIPO],MATCH(LO[[#This Row],[INSTITUIÇÃO]],TabInst[DESCRIÇÃO],0)),"")</f>
        <v/>
      </c>
      <c r="R149" t="str">
        <f>IFERROR(INDEX(TabInst[INSTITUIÇÃO],MATCH(LO[[#This Row],[INSTITUIÇÃO]],TabInst[DESCRIÇÃO],0)),"")</f>
        <v/>
      </c>
      <c r="S149" t="str">
        <f>PROPER(TEXT(LO[[#This Row],[DT Venc]],"MMM"))</f>
        <v>Oct</v>
      </c>
      <c r="T149">
        <f>YEAR(LO[[#This Row],[DT Venc]])</f>
        <v>2026</v>
      </c>
      <c r="U149" t="str">
        <f>IFERROR(VLOOKUP(LO[[#This Row],[CATEGORIA]],TabCategoria[],2,FALSE),"")</f>
        <v/>
      </c>
      <c r="V149" t="str">
        <f>IF(LO[[#This Row],[CONTA/CARTAO]]="Cartão","Cartão",IF(LO[[#This Row],[CATEGORIA]]="Pagamento de Cartão","Fatura",""))</f>
        <v/>
      </c>
      <c r="W149">
        <f>IF(LO[[#This Row],[Tipo]]="Receita",LO[[#This Row],[Valor]],IF(LO[[#This Row],[Tipo]]="Despesa",-LO[[#This Row],[Valor]],0))</f>
        <v>-137</v>
      </c>
    </row>
    <row r="150" spans="2:23" hidden="1" x14ac:dyDescent="0.3">
      <c r="B150" s="11">
        <v>46266</v>
      </c>
      <c r="C150" s="11">
        <v>46296</v>
      </c>
      <c r="D150" t="s">
        <v>288</v>
      </c>
      <c r="E150" s="28">
        <v>21</v>
      </c>
      <c r="F150" t="s">
        <v>284</v>
      </c>
      <c r="G150" t="s">
        <v>281</v>
      </c>
      <c r="H150" t="s">
        <v>313</v>
      </c>
      <c r="J150" t="str">
        <f>IFERROR(VLOOKUP(LO[[#This Row],[Descrição]],TabCategoria[],2,FALSE),"")</f>
        <v>OPERACIONAL</v>
      </c>
      <c r="K150" t="str">
        <f>IFERROR(VLOOKUP(LO[[#This Row],[Descrição]],TabCategoria[],3,FALSE),"")</f>
        <v>DESPESA</v>
      </c>
      <c r="L150" t="str">
        <f>IFERROR(VLOOKUP(LO[[#This Row],[Descrição]],TabCategoria[],4,FALSE),"")</f>
        <v>Comunicação</v>
      </c>
      <c r="M150" t="str">
        <f>IFERROR(VLOOKUP(LO[[#This Row],[Descrição]],TabCategoria[],5,FALSE),"")</f>
        <v>Apps (Netflix, Spotify, Skype, etc)</v>
      </c>
      <c r="N150">
        <f>SUMIFS(TabCategoria[Meta Mês],TabCategoria[Categoria],LO[[#This Row],[CATEGORIA]])</f>
        <v>0</v>
      </c>
      <c r="O150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5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0" t="str">
        <f>IFERROR(INDEX(TabInst[TIPO],MATCH(LO[[#This Row],[INSTITUIÇÃO]],TabInst[DESCRIÇÃO],0)),"")</f>
        <v/>
      </c>
      <c r="R150" t="str">
        <f>IFERROR(INDEX(TabInst[INSTITUIÇÃO],MATCH(LO[[#This Row],[INSTITUIÇÃO]],TabInst[DESCRIÇÃO],0)),"")</f>
        <v/>
      </c>
      <c r="S150" t="str">
        <f>PROPER(TEXT(LO[[#This Row],[DT Venc]],"MMM"))</f>
        <v>Oct</v>
      </c>
      <c r="T150">
        <f>YEAR(LO[[#This Row],[DT Venc]])</f>
        <v>2026</v>
      </c>
      <c r="U150" t="str">
        <f>IFERROR(VLOOKUP(LO[[#This Row],[CATEGORIA]],TabCategoria[],2,FALSE),"")</f>
        <v/>
      </c>
      <c r="V150" t="str">
        <f>IF(LO[[#This Row],[CONTA/CARTAO]]="Cartão","Cartão",IF(LO[[#This Row],[CATEGORIA]]="Pagamento de Cartão","Fatura",""))</f>
        <v/>
      </c>
      <c r="W150">
        <f>IF(LO[[#This Row],[Tipo]]="Receita",LO[[#This Row],[Valor]],IF(LO[[#This Row],[Tipo]]="Despesa",-LO[[#This Row],[Valor]],0))</f>
        <v>-21</v>
      </c>
    </row>
    <row r="151" spans="2:23" hidden="1" x14ac:dyDescent="0.3">
      <c r="B151" s="11">
        <v>46266</v>
      </c>
      <c r="C151" s="11">
        <v>46296</v>
      </c>
      <c r="D151" t="s">
        <v>288</v>
      </c>
      <c r="E151" s="28">
        <v>24.9</v>
      </c>
      <c r="F151" t="s">
        <v>284</v>
      </c>
      <c r="G151" t="s">
        <v>281</v>
      </c>
      <c r="H151" t="s">
        <v>313</v>
      </c>
      <c r="J151" t="str">
        <f>IFERROR(VLOOKUP(LO[[#This Row],[Descrição]],TabCategoria[],2,FALSE),"")</f>
        <v>OPERACIONAL</v>
      </c>
      <c r="K151" t="str">
        <f>IFERROR(VLOOKUP(LO[[#This Row],[Descrição]],TabCategoria[],3,FALSE),"")</f>
        <v>DESPESA</v>
      </c>
      <c r="L151" t="str">
        <f>IFERROR(VLOOKUP(LO[[#This Row],[Descrição]],TabCategoria[],4,FALSE),"")</f>
        <v>Comunicação</v>
      </c>
      <c r="M151" t="str">
        <f>IFERROR(VLOOKUP(LO[[#This Row],[Descrição]],TabCategoria[],5,FALSE),"")</f>
        <v>Apps (Netflix, Spotify, Skype, etc)</v>
      </c>
      <c r="N151">
        <f>SUMIFS(TabCategoria[Meta Mês],TabCategoria[Categoria],LO[[#This Row],[CATEGORIA]])</f>
        <v>0</v>
      </c>
      <c r="O151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5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1" t="str">
        <f>IFERROR(INDEX(TabInst[TIPO],MATCH(LO[[#This Row],[INSTITUIÇÃO]],TabInst[DESCRIÇÃO],0)),"")</f>
        <v/>
      </c>
      <c r="R151" t="str">
        <f>IFERROR(INDEX(TabInst[INSTITUIÇÃO],MATCH(LO[[#This Row],[INSTITUIÇÃO]],TabInst[DESCRIÇÃO],0)),"")</f>
        <v/>
      </c>
      <c r="S151" t="str">
        <f>PROPER(TEXT(LO[[#This Row],[DT Venc]],"MMM"))</f>
        <v>Oct</v>
      </c>
      <c r="T151">
        <f>YEAR(LO[[#This Row],[DT Venc]])</f>
        <v>2026</v>
      </c>
      <c r="U151" t="str">
        <f>IFERROR(VLOOKUP(LO[[#This Row],[CATEGORIA]],TabCategoria[],2,FALSE),"")</f>
        <v/>
      </c>
      <c r="V151" t="str">
        <f>IF(LO[[#This Row],[CONTA/CARTAO]]="Cartão","Cartão",IF(LO[[#This Row],[CATEGORIA]]="Pagamento de Cartão","Fatura",""))</f>
        <v/>
      </c>
      <c r="W151">
        <f>IF(LO[[#This Row],[Tipo]]="Receita",LO[[#This Row],[Valor]],IF(LO[[#This Row],[Tipo]]="Despesa",-LO[[#This Row],[Valor]],0))</f>
        <v>-24.9</v>
      </c>
    </row>
    <row r="152" spans="2:23" hidden="1" x14ac:dyDescent="0.3">
      <c r="B152" s="11">
        <v>46266</v>
      </c>
      <c r="C152" s="11">
        <v>46296</v>
      </c>
      <c r="D152" t="s">
        <v>288</v>
      </c>
      <c r="E152" s="28">
        <v>35</v>
      </c>
      <c r="F152" t="s">
        <v>284</v>
      </c>
      <c r="G152" t="s">
        <v>281</v>
      </c>
      <c r="H152" t="s">
        <v>313</v>
      </c>
      <c r="J152" t="str">
        <f>IFERROR(VLOOKUP(LO[[#This Row],[Descrição]],TabCategoria[],2,FALSE),"")</f>
        <v>OPERACIONAL</v>
      </c>
      <c r="K152" t="str">
        <f>IFERROR(VLOOKUP(LO[[#This Row],[Descrição]],TabCategoria[],3,FALSE),"")</f>
        <v>DESPESA</v>
      </c>
      <c r="L152" t="str">
        <f>IFERROR(VLOOKUP(LO[[#This Row],[Descrição]],TabCategoria[],4,FALSE),"")</f>
        <v>Comunicação</v>
      </c>
      <c r="M152" t="str">
        <f>IFERROR(VLOOKUP(LO[[#This Row],[Descrição]],TabCategoria[],5,FALSE),"")</f>
        <v>Apps (Netflix, Spotify, Skype, etc)</v>
      </c>
      <c r="N152">
        <f>SUMIFS(TabCategoria[Meta Mês],TabCategoria[Categoria],LO[[#This Row],[CATEGORIA]])</f>
        <v>0</v>
      </c>
      <c r="O152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5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2" t="str">
        <f>IFERROR(INDEX(TabInst[TIPO],MATCH(LO[[#This Row],[INSTITUIÇÃO]],TabInst[DESCRIÇÃO],0)),"")</f>
        <v/>
      </c>
      <c r="R152" t="str">
        <f>IFERROR(INDEX(TabInst[INSTITUIÇÃO],MATCH(LO[[#This Row],[INSTITUIÇÃO]],TabInst[DESCRIÇÃO],0)),"")</f>
        <v/>
      </c>
      <c r="S152" t="str">
        <f>PROPER(TEXT(LO[[#This Row],[DT Venc]],"MMM"))</f>
        <v>Oct</v>
      </c>
      <c r="T152">
        <f>YEAR(LO[[#This Row],[DT Venc]])</f>
        <v>2026</v>
      </c>
      <c r="U152" t="str">
        <f>IFERROR(VLOOKUP(LO[[#This Row],[CATEGORIA]],TabCategoria[],2,FALSE),"")</f>
        <v/>
      </c>
      <c r="V152" t="str">
        <f>IF(LO[[#This Row],[CONTA/CARTAO]]="Cartão","Cartão",IF(LO[[#This Row],[CATEGORIA]]="Pagamento de Cartão","Fatura",""))</f>
        <v/>
      </c>
      <c r="W152">
        <f>IF(LO[[#This Row],[Tipo]]="Receita",LO[[#This Row],[Valor]],IF(LO[[#This Row],[Tipo]]="Despesa",-LO[[#This Row],[Valor]],0))</f>
        <v>-35</v>
      </c>
    </row>
    <row r="153" spans="2:23" hidden="1" x14ac:dyDescent="0.3">
      <c r="B153" s="11">
        <v>46266</v>
      </c>
      <c r="C153" s="11">
        <v>46296</v>
      </c>
      <c r="D153" t="s">
        <v>294</v>
      </c>
      <c r="E153" s="28">
        <v>66.900000000000006</v>
      </c>
      <c r="F153" t="s">
        <v>284</v>
      </c>
      <c r="G153" t="s">
        <v>282</v>
      </c>
      <c r="H153" t="s">
        <v>313</v>
      </c>
      <c r="J153" t="str">
        <f>IFERROR(VLOOKUP(LO[[#This Row],[Descrição]],TabCategoria[],2,FALSE),"")</f>
        <v>NÃO OPERACIONAL</v>
      </c>
      <c r="K153" t="str">
        <f>IFERROR(VLOOKUP(LO[[#This Row],[Descrição]],TabCategoria[],3,FALSE),"")</f>
        <v>DESPESA</v>
      </c>
      <c r="L153" t="str">
        <f>IFERROR(VLOOKUP(LO[[#This Row],[Descrição]],TabCategoria[],4,FALSE),"")</f>
        <v>Lazer</v>
      </c>
      <c r="M153" t="str">
        <f>IFERROR(VLOOKUP(LO[[#This Row],[Descrição]],TabCategoria[],5,FALSE),"")</f>
        <v>APPLE</v>
      </c>
      <c r="N153">
        <f>SUMIFS(TabCategoria[Meta Mês],TabCategoria[Categoria],LO[[#This Row],[CATEGORIA]])</f>
        <v>0</v>
      </c>
      <c r="O153" s="68">
        <f>SUMIFS(LO[Valor],LO[CATEGORIA],LO[[#This Row],[CATEGORIA]],LO[ANO],LO[[#This Row],[ANO]],LO[MÊS],LO[[#This Row],[MÊS]])
/COUNTIFS(LO[CATEGORIA],LO[[#This Row],[CATEGORIA]],LO[ANO],LO[[#This Row],[ANO]],LO[MÊS],LO[[#This Row],[MÊS]])</f>
        <v>66.900000000000006</v>
      </c>
      <c r="P15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3" t="str">
        <f>IFERROR(INDEX(TabInst[TIPO],MATCH(LO[[#This Row],[INSTITUIÇÃO]],TabInst[DESCRIÇÃO],0)),"")</f>
        <v/>
      </c>
      <c r="R153" t="str">
        <f>IFERROR(INDEX(TabInst[INSTITUIÇÃO],MATCH(LO[[#This Row],[INSTITUIÇÃO]],TabInst[DESCRIÇÃO],0)),"")</f>
        <v/>
      </c>
      <c r="S153" t="str">
        <f>PROPER(TEXT(LO[[#This Row],[DT Venc]],"MMM"))</f>
        <v>Oct</v>
      </c>
      <c r="T153">
        <f>YEAR(LO[[#This Row],[DT Venc]])</f>
        <v>2026</v>
      </c>
      <c r="U153" t="str">
        <f>IFERROR(VLOOKUP(LO[[#This Row],[CATEGORIA]],TabCategoria[],2,FALSE),"")</f>
        <v/>
      </c>
      <c r="V153" t="str">
        <f>IF(LO[[#This Row],[CONTA/CARTAO]]="Cartão","Cartão",IF(LO[[#This Row],[CATEGORIA]]="Pagamento de Cartão","Fatura",""))</f>
        <v/>
      </c>
      <c r="W153">
        <f>IF(LO[[#This Row],[Tipo]]="Receita",LO[[#This Row],[Valor]],IF(LO[[#This Row],[Tipo]]="Despesa",-LO[[#This Row],[Valor]],0))</f>
        <v>-66.900000000000006</v>
      </c>
    </row>
    <row r="154" spans="2:23" hidden="1" x14ac:dyDescent="0.3">
      <c r="B154" s="11">
        <v>46125</v>
      </c>
      <c r="C154" s="11">
        <v>46305</v>
      </c>
      <c r="D154" t="s">
        <v>326</v>
      </c>
      <c r="E154" s="28">
        <v>391</v>
      </c>
      <c r="F154" t="s">
        <v>353</v>
      </c>
      <c r="G154" t="s">
        <v>354</v>
      </c>
      <c r="H154" t="s">
        <v>313</v>
      </c>
      <c r="I154" t="s">
        <v>352</v>
      </c>
      <c r="J154" t="str">
        <f>IFERROR(VLOOKUP(LO[[#This Row],[Descrição]],TabCategoria[],2,FALSE),"")</f>
        <v>NÃO OPERACIONAL</v>
      </c>
      <c r="K154" t="str">
        <f>IFERROR(VLOOKUP(LO[[#This Row],[Descrição]],TabCategoria[],3,FALSE),"")</f>
        <v>DESPESA</v>
      </c>
      <c r="L154" t="str">
        <f>IFERROR(VLOOKUP(LO[[#This Row],[Descrição]],TabCategoria[],4,FALSE),"")</f>
        <v>Empréstimo</v>
      </c>
      <c r="M154" t="str">
        <f>IFERROR(VLOOKUP(LO[[#This Row],[Descrição]],TabCategoria[],5,FALSE),"")</f>
        <v>Empréstimo Pessoal - Banco</v>
      </c>
      <c r="N154">
        <f>SUMIFS(TabCategoria[Meta Mês],TabCategoria[Categoria],LO[[#This Row],[CATEGORIA]])</f>
        <v>0</v>
      </c>
      <c r="O154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15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4" t="str">
        <f>IFERROR(INDEX(TabInst[TIPO],MATCH(LO[[#This Row],[INSTITUIÇÃO]],TabInst[DESCRIÇÃO],0)),"")</f>
        <v/>
      </c>
      <c r="R154" t="str">
        <f>IFERROR(INDEX(TabInst[INSTITUIÇÃO],MATCH(LO[[#This Row],[INSTITUIÇÃO]],TabInst[DESCRIÇÃO],0)),"")</f>
        <v/>
      </c>
      <c r="S154" t="str">
        <f>PROPER(TEXT(LO[[#This Row],[DT Venc]],"MMM"))</f>
        <v>Oct</v>
      </c>
      <c r="T154">
        <f>YEAR(LO[[#This Row],[DT Venc]])</f>
        <v>2026</v>
      </c>
      <c r="U154" t="str">
        <f>IFERROR(VLOOKUP(LO[[#This Row],[CATEGORIA]],TabCategoria[],2,FALSE),"")</f>
        <v/>
      </c>
      <c r="V154" t="str">
        <f>IF(LO[[#This Row],[CONTA/CARTAO]]="Cartão","Cartão",IF(LO[[#This Row],[CATEGORIA]]="Pagamento de Cartão","Fatura",""))</f>
        <v/>
      </c>
      <c r="W154">
        <f>IF(LO[[#This Row],[Tipo]]="Receita",LO[[#This Row],[Valor]],IF(LO[[#This Row],[Tipo]]="Despesa",-LO[[#This Row],[Valor]],0))</f>
        <v>-391</v>
      </c>
    </row>
    <row r="155" spans="2:23" hidden="1" x14ac:dyDescent="0.3">
      <c r="B155" s="11">
        <v>46296</v>
      </c>
      <c r="C155" s="11">
        <v>46327</v>
      </c>
      <c r="D155" t="s">
        <v>302</v>
      </c>
      <c r="E155" s="28">
        <v>2927</v>
      </c>
      <c r="F155" t="s">
        <v>284</v>
      </c>
      <c r="G155" t="s">
        <v>337</v>
      </c>
      <c r="H155" t="s">
        <v>313</v>
      </c>
      <c r="J155" t="str">
        <f>IFERROR(VLOOKUP(LO[[#This Row],[Descrição]],TabCategoria[],2,FALSE),"")</f>
        <v>OPERACIONAL</v>
      </c>
      <c r="K155" t="str">
        <f>IFERROR(VLOOKUP(LO[[#This Row],[Descrição]],TabCategoria[],3,FALSE),"")</f>
        <v>RECEITA</v>
      </c>
      <c r="L155" t="str">
        <f>IFERROR(VLOOKUP(LO[[#This Row],[Descrição]],TabCategoria[],4,FALSE),"")</f>
        <v>Renda Principal</v>
      </c>
      <c r="M155" t="str">
        <f>IFERROR(VLOOKUP(LO[[#This Row],[Descrição]],TabCategoria[],5,FALSE),"")</f>
        <v>Salário Principal</v>
      </c>
      <c r="N155">
        <f>SUMIFS(TabCategoria[Meta Mês],TabCategoria[Categoria],LO[[#This Row],[CATEGORIA]])</f>
        <v>0</v>
      </c>
      <c r="O155" s="68">
        <f>SUMIFS(LO[Valor],LO[CATEGORIA],LO[[#This Row],[CATEGORIA]],LO[ANO],LO[[#This Row],[ANO]],LO[MÊS],LO[[#This Row],[MÊS]])
/COUNTIFS(LO[CATEGORIA],LO[[#This Row],[CATEGORIA]],LO[ANO],LO[[#This Row],[ANO]],LO[MÊS],LO[[#This Row],[MÊS]])</f>
        <v>2927</v>
      </c>
      <c r="P15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5" t="str">
        <f>IFERROR(INDEX(TabInst[TIPO],MATCH(LO[[#This Row],[INSTITUIÇÃO]],TabInst[DESCRIÇÃO],0)),"")</f>
        <v/>
      </c>
      <c r="R155" t="str">
        <f>IFERROR(INDEX(TabInst[INSTITUIÇÃO],MATCH(LO[[#This Row],[INSTITUIÇÃO]],TabInst[DESCRIÇÃO],0)),"")</f>
        <v/>
      </c>
      <c r="S155" t="str">
        <f>PROPER(TEXT(LO[[#This Row],[DT Venc]],"MMM"))</f>
        <v>Nov</v>
      </c>
      <c r="T155">
        <f>YEAR(LO[[#This Row],[DT Venc]])</f>
        <v>2026</v>
      </c>
      <c r="U155" t="str">
        <f>IFERROR(VLOOKUP(LO[[#This Row],[CATEGORIA]],TabCategoria[],2,FALSE),"")</f>
        <v/>
      </c>
      <c r="V155" t="str">
        <f>IF(LO[[#This Row],[CONTA/CARTAO]]="Cartão","Cartão",IF(LO[[#This Row],[CATEGORIA]]="Pagamento de Cartão","Fatura",""))</f>
        <v/>
      </c>
      <c r="W155">
        <f>IF(LO[[#This Row],[Tipo]]="Receita",LO[[#This Row],[Valor]],IF(LO[[#This Row],[Tipo]]="Despesa",-LO[[#This Row],[Valor]],0))</f>
        <v>2927</v>
      </c>
    </row>
    <row r="156" spans="2:23" hidden="1" x14ac:dyDescent="0.3">
      <c r="B156" s="11">
        <v>46296</v>
      </c>
      <c r="C156" s="11">
        <v>46327</v>
      </c>
      <c r="D156" t="s">
        <v>326</v>
      </c>
      <c r="E156" s="28">
        <v>188.68</v>
      </c>
      <c r="F156" t="s">
        <v>284</v>
      </c>
      <c r="G156" t="s">
        <v>282</v>
      </c>
      <c r="H156" t="s">
        <v>313</v>
      </c>
      <c r="J156" t="str">
        <f>IFERROR(VLOOKUP(LO[[#This Row],[Descrição]],TabCategoria[],2,FALSE),"")</f>
        <v>NÃO OPERACIONAL</v>
      </c>
      <c r="K156" t="str">
        <f>IFERROR(VLOOKUP(LO[[#This Row],[Descrição]],TabCategoria[],3,FALSE),"")</f>
        <v>DESPESA</v>
      </c>
      <c r="L156" t="str">
        <f>IFERROR(VLOOKUP(LO[[#This Row],[Descrição]],TabCategoria[],4,FALSE),"")</f>
        <v>Empréstimo</v>
      </c>
      <c r="M156" t="str">
        <f>IFERROR(VLOOKUP(LO[[#This Row],[Descrição]],TabCategoria[],5,FALSE),"")</f>
        <v>Empréstimo Pessoal - Banco</v>
      </c>
      <c r="N156">
        <f>SUMIFS(TabCategoria[Meta Mês],TabCategoria[Categoria],LO[[#This Row],[CATEGORIA]])</f>
        <v>0</v>
      </c>
      <c r="O156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15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6" t="str">
        <f>IFERROR(INDEX(TabInst[TIPO],MATCH(LO[[#This Row],[INSTITUIÇÃO]],TabInst[DESCRIÇÃO],0)),"")</f>
        <v/>
      </c>
      <c r="R156" t="str">
        <f>IFERROR(INDEX(TabInst[INSTITUIÇÃO],MATCH(LO[[#This Row],[INSTITUIÇÃO]],TabInst[DESCRIÇÃO],0)),"")</f>
        <v/>
      </c>
      <c r="S156" t="str">
        <f>PROPER(TEXT(LO[[#This Row],[DT Venc]],"MMM"))</f>
        <v>Nov</v>
      </c>
      <c r="T156">
        <f>YEAR(LO[[#This Row],[DT Venc]])</f>
        <v>2026</v>
      </c>
      <c r="U156" t="str">
        <f>IFERROR(VLOOKUP(LO[[#This Row],[CATEGORIA]],TabCategoria[],2,FALSE),"")</f>
        <v/>
      </c>
      <c r="V156" t="str">
        <f>IF(LO[[#This Row],[CONTA/CARTAO]]="Cartão","Cartão",IF(LO[[#This Row],[CATEGORIA]]="Pagamento de Cartão","Fatura",""))</f>
        <v/>
      </c>
      <c r="W156">
        <f>IF(LO[[#This Row],[Tipo]]="Receita",LO[[#This Row],[Valor]],IF(LO[[#This Row],[Tipo]]="Despesa",-LO[[#This Row],[Valor]],0))</f>
        <v>-188.68</v>
      </c>
    </row>
    <row r="157" spans="2:23" hidden="1" x14ac:dyDescent="0.3">
      <c r="B157" s="11">
        <v>46296</v>
      </c>
      <c r="C157" s="11">
        <v>46327</v>
      </c>
      <c r="D157" t="s">
        <v>318</v>
      </c>
      <c r="E157" s="28">
        <v>250</v>
      </c>
      <c r="F157" t="s">
        <v>284</v>
      </c>
      <c r="G157" t="s">
        <v>280</v>
      </c>
      <c r="H157" t="s">
        <v>313</v>
      </c>
      <c r="J157" t="str">
        <f>IFERROR(VLOOKUP(LO[[#This Row],[Descrição]],TabCategoria[],2,FALSE),"")</f>
        <v>OPERACIONAL</v>
      </c>
      <c r="K157" t="str">
        <f>IFERROR(VLOOKUP(LO[[#This Row],[Descrição]],TabCategoria[],3,FALSE),"")</f>
        <v>DESPESA</v>
      </c>
      <c r="L157" t="str">
        <f>IFERROR(VLOOKUP(LO[[#This Row],[Descrição]],TabCategoria[],4,FALSE),"")</f>
        <v>Moradia</v>
      </c>
      <c r="M157" t="str">
        <f>IFERROR(VLOOKUP(LO[[#This Row],[Descrição]],TabCategoria[],5,FALSE),"")</f>
        <v>Água</v>
      </c>
      <c r="N157">
        <f>SUMIFS(TabCategoria[Meta Mês],TabCategoria[Categoria],LO[[#This Row],[CATEGORIA]])</f>
        <v>0</v>
      </c>
      <c r="O157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15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7" t="str">
        <f>IFERROR(INDEX(TabInst[TIPO],MATCH(LO[[#This Row],[INSTITUIÇÃO]],TabInst[DESCRIÇÃO],0)),"")</f>
        <v/>
      </c>
      <c r="R157" t="str">
        <f>IFERROR(INDEX(TabInst[INSTITUIÇÃO],MATCH(LO[[#This Row],[INSTITUIÇÃO]],TabInst[DESCRIÇÃO],0)),"")</f>
        <v/>
      </c>
      <c r="S157" t="str">
        <f>PROPER(TEXT(LO[[#This Row],[DT Venc]],"MMM"))</f>
        <v>Nov</v>
      </c>
      <c r="T157">
        <f>YEAR(LO[[#This Row],[DT Venc]])</f>
        <v>2026</v>
      </c>
      <c r="U157" t="str">
        <f>IFERROR(VLOOKUP(LO[[#This Row],[CATEGORIA]],TabCategoria[],2,FALSE),"")</f>
        <v/>
      </c>
      <c r="V157" t="str">
        <f>IF(LO[[#This Row],[CONTA/CARTAO]]="Cartão","Cartão",IF(LO[[#This Row],[CATEGORIA]]="Pagamento de Cartão","Fatura",""))</f>
        <v/>
      </c>
      <c r="W157">
        <f>IF(LO[[#This Row],[Tipo]]="Receita",LO[[#This Row],[Valor]],IF(LO[[#This Row],[Tipo]]="Despesa",-LO[[#This Row],[Valor]],0))</f>
        <v>-250</v>
      </c>
    </row>
    <row r="158" spans="2:23" hidden="1" x14ac:dyDescent="0.3">
      <c r="B158" s="11">
        <v>46296</v>
      </c>
      <c r="C158" s="11">
        <v>46327</v>
      </c>
      <c r="D158" t="s">
        <v>319</v>
      </c>
      <c r="E158" s="28">
        <v>150</v>
      </c>
      <c r="F158" t="s">
        <v>284</v>
      </c>
      <c r="G158" t="s">
        <v>280</v>
      </c>
      <c r="H158" t="s">
        <v>313</v>
      </c>
      <c r="J158" t="str">
        <f>IFERROR(VLOOKUP(LO[[#This Row],[Descrição]],TabCategoria[],2,FALSE),"")</f>
        <v>OPERACIONAL</v>
      </c>
      <c r="K158" t="str">
        <f>IFERROR(VLOOKUP(LO[[#This Row],[Descrição]],TabCategoria[],3,FALSE),"")</f>
        <v>DESPESA</v>
      </c>
      <c r="L158" t="str">
        <f>IFERROR(VLOOKUP(LO[[#This Row],[Descrição]],TabCategoria[],4,FALSE),"")</f>
        <v>Transporte</v>
      </c>
      <c r="M158" t="str">
        <f>IFERROR(VLOOKUP(LO[[#This Row],[Descrição]],TabCategoria[],5,FALSE),"")</f>
        <v>Combustível</v>
      </c>
      <c r="N158">
        <f>SUMIFS(TabCategoria[Meta Mês],TabCategoria[Categoria],LO[[#This Row],[CATEGORIA]])</f>
        <v>0</v>
      </c>
      <c r="O158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15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8" t="str">
        <f>IFERROR(INDEX(TabInst[TIPO],MATCH(LO[[#This Row],[INSTITUIÇÃO]],TabInst[DESCRIÇÃO],0)),"")</f>
        <v/>
      </c>
      <c r="R158" t="str">
        <f>IFERROR(INDEX(TabInst[INSTITUIÇÃO],MATCH(LO[[#This Row],[INSTITUIÇÃO]],TabInst[DESCRIÇÃO],0)),"")</f>
        <v/>
      </c>
      <c r="S158" t="str">
        <f>PROPER(TEXT(LO[[#This Row],[DT Venc]],"MMM"))</f>
        <v>Nov</v>
      </c>
      <c r="T158">
        <f>YEAR(LO[[#This Row],[DT Venc]])</f>
        <v>2026</v>
      </c>
      <c r="U158" t="str">
        <f>IFERROR(VLOOKUP(LO[[#This Row],[CATEGORIA]],TabCategoria[],2,FALSE),"")</f>
        <v/>
      </c>
      <c r="V158" t="str">
        <f>IF(LO[[#This Row],[CONTA/CARTAO]]="Cartão","Cartão",IF(LO[[#This Row],[CATEGORIA]]="Pagamento de Cartão","Fatura",""))</f>
        <v/>
      </c>
      <c r="W158">
        <f>IF(LO[[#This Row],[Tipo]]="Receita",LO[[#This Row],[Valor]],IF(LO[[#This Row],[Tipo]]="Despesa",-LO[[#This Row],[Valor]],0))</f>
        <v>-150</v>
      </c>
    </row>
    <row r="159" spans="2:23" hidden="1" x14ac:dyDescent="0.3">
      <c r="B159" s="11">
        <v>46296</v>
      </c>
      <c r="C159" s="11">
        <v>46327</v>
      </c>
      <c r="D159" t="s">
        <v>286</v>
      </c>
      <c r="E159" s="28">
        <v>45</v>
      </c>
      <c r="F159" t="s">
        <v>284</v>
      </c>
      <c r="G159" t="s">
        <v>281</v>
      </c>
      <c r="H159" t="s">
        <v>313</v>
      </c>
      <c r="J159" t="str">
        <f>IFERROR(VLOOKUP(LO[[#This Row],[Descrição]],TabCategoria[],2,FALSE),"")</f>
        <v>OPERACIONAL</v>
      </c>
      <c r="K159" t="str">
        <f>IFERROR(VLOOKUP(LO[[#This Row],[Descrição]],TabCategoria[],3,FALSE),"")</f>
        <v>DESPESA</v>
      </c>
      <c r="L159" t="str">
        <f>IFERROR(VLOOKUP(LO[[#This Row],[Descrição]],TabCategoria[],4,FALSE),"")</f>
        <v>Comunicação</v>
      </c>
      <c r="M159" t="str">
        <f>IFERROR(VLOOKUP(LO[[#This Row],[Descrição]],TabCategoria[],5,FALSE),"")</f>
        <v>Internet</v>
      </c>
      <c r="N159">
        <f>SUMIFS(TabCategoria[Meta Mês],TabCategoria[Categoria],LO[[#This Row],[CATEGORIA]])</f>
        <v>0</v>
      </c>
      <c r="O159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5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59" t="str">
        <f>IFERROR(INDEX(TabInst[TIPO],MATCH(LO[[#This Row],[INSTITUIÇÃO]],TabInst[DESCRIÇÃO],0)),"")</f>
        <v/>
      </c>
      <c r="R159" t="str">
        <f>IFERROR(INDEX(TabInst[INSTITUIÇÃO],MATCH(LO[[#This Row],[INSTITUIÇÃO]],TabInst[DESCRIÇÃO],0)),"")</f>
        <v/>
      </c>
      <c r="S159" t="str">
        <f>PROPER(TEXT(LO[[#This Row],[DT Venc]],"MMM"))</f>
        <v>Nov</v>
      </c>
      <c r="T159">
        <f>YEAR(LO[[#This Row],[DT Venc]])</f>
        <v>2026</v>
      </c>
      <c r="U159" t="str">
        <f>IFERROR(VLOOKUP(LO[[#This Row],[CATEGORIA]],TabCategoria[],2,FALSE),"")</f>
        <v/>
      </c>
      <c r="V159" t="str">
        <f>IF(LO[[#This Row],[CONTA/CARTAO]]="Cartão","Cartão",IF(LO[[#This Row],[CATEGORIA]]="Pagamento de Cartão","Fatura",""))</f>
        <v/>
      </c>
      <c r="W159">
        <f>IF(LO[[#This Row],[Tipo]]="Receita",LO[[#This Row],[Valor]],IF(LO[[#This Row],[Tipo]]="Despesa",-LO[[#This Row],[Valor]],0))</f>
        <v>-45</v>
      </c>
    </row>
    <row r="160" spans="2:23" hidden="1" x14ac:dyDescent="0.3">
      <c r="B160" s="11">
        <v>46296</v>
      </c>
      <c r="C160" s="11">
        <v>46327</v>
      </c>
      <c r="D160" t="s">
        <v>287</v>
      </c>
      <c r="E160" s="28">
        <v>137</v>
      </c>
      <c r="F160" t="s">
        <v>284</v>
      </c>
      <c r="G160" t="s">
        <v>280</v>
      </c>
      <c r="H160" t="s">
        <v>313</v>
      </c>
      <c r="J160" t="str">
        <f>IFERROR(VLOOKUP(LO[[#This Row],[Descrição]],TabCategoria[],2,FALSE),"")</f>
        <v>NÃO OPERACIONAL</v>
      </c>
      <c r="K160" t="str">
        <f>IFERROR(VLOOKUP(LO[[#This Row],[Descrição]],TabCategoria[],3,FALSE),"")</f>
        <v>DESPESA</v>
      </c>
      <c r="L160" t="str">
        <f>IFERROR(VLOOKUP(LO[[#This Row],[Descrição]],TabCategoria[],4,FALSE),"")</f>
        <v>Pessoais</v>
      </c>
      <c r="M160" t="str">
        <f>IFERROR(VLOOKUP(LO[[#This Row],[Descrição]],TabCategoria[],5,FALSE),"")</f>
        <v>INTERNET CELULAR</v>
      </c>
      <c r="N160">
        <f>SUMIFS(TabCategoria[Meta Mês],TabCategoria[Categoria],LO[[#This Row],[CATEGORIA]])</f>
        <v>0</v>
      </c>
      <c r="O160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16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0" t="str">
        <f>IFERROR(INDEX(TabInst[TIPO],MATCH(LO[[#This Row],[INSTITUIÇÃO]],TabInst[DESCRIÇÃO],0)),"")</f>
        <v/>
      </c>
      <c r="R160" t="str">
        <f>IFERROR(INDEX(TabInst[INSTITUIÇÃO],MATCH(LO[[#This Row],[INSTITUIÇÃO]],TabInst[DESCRIÇÃO],0)),"")</f>
        <v/>
      </c>
      <c r="S160" t="str">
        <f>PROPER(TEXT(LO[[#This Row],[DT Venc]],"MMM"))</f>
        <v>Nov</v>
      </c>
      <c r="T160">
        <f>YEAR(LO[[#This Row],[DT Venc]])</f>
        <v>2026</v>
      </c>
      <c r="U160" t="str">
        <f>IFERROR(VLOOKUP(LO[[#This Row],[CATEGORIA]],TabCategoria[],2,FALSE),"")</f>
        <v/>
      </c>
      <c r="V160" t="str">
        <f>IF(LO[[#This Row],[CONTA/CARTAO]]="Cartão","Cartão",IF(LO[[#This Row],[CATEGORIA]]="Pagamento de Cartão","Fatura",""))</f>
        <v/>
      </c>
      <c r="W160">
        <f>IF(LO[[#This Row],[Tipo]]="Receita",LO[[#This Row],[Valor]],IF(LO[[#This Row],[Tipo]]="Despesa",-LO[[#This Row],[Valor]],0))</f>
        <v>-137</v>
      </c>
    </row>
    <row r="161" spans="2:23" hidden="1" x14ac:dyDescent="0.3">
      <c r="B161" s="11">
        <v>46296</v>
      </c>
      <c r="C161" s="11">
        <v>46327</v>
      </c>
      <c r="D161" t="s">
        <v>288</v>
      </c>
      <c r="E161" s="28">
        <v>21</v>
      </c>
      <c r="F161" t="s">
        <v>284</v>
      </c>
      <c r="G161" t="s">
        <v>281</v>
      </c>
      <c r="H161" t="s">
        <v>313</v>
      </c>
      <c r="J161" t="str">
        <f>IFERROR(VLOOKUP(LO[[#This Row],[Descrição]],TabCategoria[],2,FALSE),"")</f>
        <v>OPERACIONAL</v>
      </c>
      <c r="K161" t="str">
        <f>IFERROR(VLOOKUP(LO[[#This Row],[Descrição]],TabCategoria[],3,FALSE),"")</f>
        <v>DESPESA</v>
      </c>
      <c r="L161" t="str">
        <f>IFERROR(VLOOKUP(LO[[#This Row],[Descrição]],TabCategoria[],4,FALSE),"")</f>
        <v>Comunicação</v>
      </c>
      <c r="M161" t="str">
        <f>IFERROR(VLOOKUP(LO[[#This Row],[Descrição]],TabCategoria[],5,FALSE),"")</f>
        <v>Apps (Netflix, Spotify, Skype, etc)</v>
      </c>
      <c r="N161">
        <f>SUMIFS(TabCategoria[Meta Mês],TabCategoria[Categoria],LO[[#This Row],[CATEGORIA]])</f>
        <v>0</v>
      </c>
      <c r="O161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6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1" t="str">
        <f>IFERROR(INDEX(TabInst[TIPO],MATCH(LO[[#This Row],[INSTITUIÇÃO]],TabInst[DESCRIÇÃO],0)),"")</f>
        <v/>
      </c>
      <c r="R161" t="str">
        <f>IFERROR(INDEX(TabInst[INSTITUIÇÃO],MATCH(LO[[#This Row],[INSTITUIÇÃO]],TabInst[DESCRIÇÃO],0)),"")</f>
        <v/>
      </c>
      <c r="S161" t="str">
        <f>PROPER(TEXT(LO[[#This Row],[DT Venc]],"MMM"))</f>
        <v>Nov</v>
      </c>
      <c r="T161">
        <f>YEAR(LO[[#This Row],[DT Venc]])</f>
        <v>2026</v>
      </c>
      <c r="U161" t="str">
        <f>IFERROR(VLOOKUP(LO[[#This Row],[CATEGORIA]],TabCategoria[],2,FALSE),"")</f>
        <v/>
      </c>
      <c r="V161" t="str">
        <f>IF(LO[[#This Row],[CONTA/CARTAO]]="Cartão","Cartão",IF(LO[[#This Row],[CATEGORIA]]="Pagamento de Cartão","Fatura",""))</f>
        <v/>
      </c>
      <c r="W161">
        <f>IF(LO[[#This Row],[Tipo]]="Receita",LO[[#This Row],[Valor]],IF(LO[[#This Row],[Tipo]]="Despesa",-LO[[#This Row],[Valor]],0))</f>
        <v>-21</v>
      </c>
    </row>
    <row r="162" spans="2:23" hidden="1" x14ac:dyDescent="0.3">
      <c r="B162" s="11">
        <v>46296</v>
      </c>
      <c r="C162" s="11">
        <v>46327</v>
      </c>
      <c r="D162" t="s">
        <v>288</v>
      </c>
      <c r="E162" s="28">
        <v>24.9</v>
      </c>
      <c r="F162" t="s">
        <v>284</v>
      </c>
      <c r="G162" t="s">
        <v>281</v>
      </c>
      <c r="H162" t="s">
        <v>313</v>
      </c>
      <c r="J162" t="str">
        <f>IFERROR(VLOOKUP(LO[[#This Row],[Descrição]],TabCategoria[],2,FALSE),"")</f>
        <v>OPERACIONAL</v>
      </c>
      <c r="K162" t="str">
        <f>IFERROR(VLOOKUP(LO[[#This Row],[Descrição]],TabCategoria[],3,FALSE),"")</f>
        <v>DESPESA</v>
      </c>
      <c r="L162" t="str">
        <f>IFERROR(VLOOKUP(LO[[#This Row],[Descrição]],TabCategoria[],4,FALSE),"")</f>
        <v>Comunicação</v>
      </c>
      <c r="M162" t="str">
        <f>IFERROR(VLOOKUP(LO[[#This Row],[Descrição]],TabCategoria[],5,FALSE),"")</f>
        <v>Apps (Netflix, Spotify, Skype, etc)</v>
      </c>
      <c r="N162">
        <f>SUMIFS(TabCategoria[Meta Mês],TabCategoria[Categoria],LO[[#This Row],[CATEGORIA]])</f>
        <v>0</v>
      </c>
      <c r="O162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6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2" t="str">
        <f>IFERROR(INDEX(TabInst[TIPO],MATCH(LO[[#This Row],[INSTITUIÇÃO]],TabInst[DESCRIÇÃO],0)),"")</f>
        <v/>
      </c>
      <c r="R162" t="str">
        <f>IFERROR(INDEX(TabInst[INSTITUIÇÃO],MATCH(LO[[#This Row],[INSTITUIÇÃO]],TabInst[DESCRIÇÃO],0)),"")</f>
        <v/>
      </c>
      <c r="S162" t="str">
        <f>PROPER(TEXT(LO[[#This Row],[DT Venc]],"MMM"))</f>
        <v>Nov</v>
      </c>
      <c r="T162">
        <f>YEAR(LO[[#This Row],[DT Venc]])</f>
        <v>2026</v>
      </c>
      <c r="U162" t="str">
        <f>IFERROR(VLOOKUP(LO[[#This Row],[CATEGORIA]],TabCategoria[],2,FALSE),"")</f>
        <v/>
      </c>
      <c r="V162" t="str">
        <f>IF(LO[[#This Row],[CONTA/CARTAO]]="Cartão","Cartão",IF(LO[[#This Row],[CATEGORIA]]="Pagamento de Cartão","Fatura",""))</f>
        <v/>
      </c>
      <c r="W162">
        <f>IF(LO[[#This Row],[Tipo]]="Receita",LO[[#This Row],[Valor]],IF(LO[[#This Row],[Tipo]]="Despesa",-LO[[#This Row],[Valor]],0))</f>
        <v>-24.9</v>
      </c>
    </row>
    <row r="163" spans="2:23" hidden="1" x14ac:dyDescent="0.3">
      <c r="B163" s="11">
        <v>46296</v>
      </c>
      <c r="C163" s="11">
        <v>46327</v>
      </c>
      <c r="D163" t="s">
        <v>288</v>
      </c>
      <c r="E163" s="28">
        <v>35</v>
      </c>
      <c r="F163" t="s">
        <v>284</v>
      </c>
      <c r="G163" t="s">
        <v>281</v>
      </c>
      <c r="H163" t="s">
        <v>313</v>
      </c>
      <c r="J163" t="str">
        <f>IFERROR(VLOOKUP(LO[[#This Row],[Descrição]],TabCategoria[],2,FALSE),"")</f>
        <v>OPERACIONAL</v>
      </c>
      <c r="K163" t="str">
        <f>IFERROR(VLOOKUP(LO[[#This Row],[Descrição]],TabCategoria[],3,FALSE),"")</f>
        <v>DESPESA</v>
      </c>
      <c r="L163" t="str">
        <f>IFERROR(VLOOKUP(LO[[#This Row],[Descrição]],TabCategoria[],4,FALSE),"")</f>
        <v>Comunicação</v>
      </c>
      <c r="M163" t="str">
        <f>IFERROR(VLOOKUP(LO[[#This Row],[Descrição]],TabCategoria[],5,FALSE),"")</f>
        <v>Apps (Netflix, Spotify, Skype, etc)</v>
      </c>
      <c r="N163">
        <f>SUMIFS(TabCategoria[Meta Mês],TabCategoria[Categoria],LO[[#This Row],[CATEGORIA]])</f>
        <v>0</v>
      </c>
      <c r="O163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6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3" t="str">
        <f>IFERROR(INDEX(TabInst[TIPO],MATCH(LO[[#This Row],[INSTITUIÇÃO]],TabInst[DESCRIÇÃO],0)),"")</f>
        <v/>
      </c>
      <c r="R163" t="str">
        <f>IFERROR(INDEX(TabInst[INSTITUIÇÃO],MATCH(LO[[#This Row],[INSTITUIÇÃO]],TabInst[DESCRIÇÃO],0)),"")</f>
        <v/>
      </c>
      <c r="S163" t="str">
        <f>PROPER(TEXT(LO[[#This Row],[DT Venc]],"MMM"))</f>
        <v>Nov</v>
      </c>
      <c r="T163">
        <f>YEAR(LO[[#This Row],[DT Venc]])</f>
        <v>2026</v>
      </c>
      <c r="U163" t="str">
        <f>IFERROR(VLOOKUP(LO[[#This Row],[CATEGORIA]],TabCategoria[],2,FALSE),"")</f>
        <v/>
      </c>
      <c r="V163" t="str">
        <f>IF(LO[[#This Row],[CONTA/CARTAO]]="Cartão","Cartão",IF(LO[[#This Row],[CATEGORIA]]="Pagamento de Cartão","Fatura",""))</f>
        <v/>
      </c>
      <c r="W163">
        <f>IF(LO[[#This Row],[Tipo]]="Receita",LO[[#This Row],[Valor]],IF(LO[[#This Row],[Tipo]]="Despesa",-LO[[#This Row],[Valor]],0))</f>
        <v>-35</v>
      </c>
    </row>
    <row r="164" spans="2:23" hidden="1" x14ac:dyDescent="0.3">
      <c r="B164" s="11">
        <v>46296</v>
      </c>
      <c r="C164" s="11">
        <v>46327</v>
      </c>
      <c r="D164" t="s">
        <v>294</v>
      </c>
      <c r="E164" s="28">
        <v>66.900000000000006</v>
      </c>
      <c r="F164" t="s">
        <v>284</v>
      </c>
      <c r="G164" t="s">
        <v>282</v>
      </c>
      <c r="H164" t="s">
        <v>313</v>
      </c>
      <c r="J164" t="str">
        <f>IFERROR(VLOOKUP(LO[[#This Row],[Descrição]],TabCategoria[],2,FALSE),"")</f>
        <v>NÃO OPERACIONAL</v>
      </c>
      <c r="K164" t="str">
        <f>IFERROR(VLOOKUP(LO[[#This Row],[Descrição]],TabCategoria[],3,FALSE),"")</f>
        <v>DESPESA</v>
      </c>
      <c r="L164" t="str">
        <f>IFERROR(VLOOKUP(LO[[#This Row],[Descrição]],TabCategoria[],4,FALSE),"")</f>
        <v>Lazer</v>
      </c>
      <c r="M164" t="str">
        <f>IFERROR(VLOOKUP(LO[[#This Row],[Descrição]],TabCategoria[],5,FALSE),"")</f>
        <v>APPLE</v>
      </c>
      <c r="N164">
        <f>SUMIFS(TabCategoria[Meta Mês],TabCategoria[Categoria],LO[[#This Row],[CATEGORIA]])</f>
        <v>0</v>
      </c>
      <c r="O164" s="68">
        <f>SUMIFS(LO[Valor],LO[CATEGORIA],LO[[#This Row],[CATEGORIA]],LO[ANO],LO[[#This Row],[ANO]],LO[MÊS],LO[[#This Row],[MÊS]])
/COUNTIFS(LO[CATEGORIA],LO[[#This Row],[CATEGORIA]],LO[ANO],LO[[#This Row],[ANO]],LO[MÊS],LO[[#This Row],[MÊS]])</f>
        <v>66.900000000000006</v>
      </c>
      <c r="P16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4" t="str">
        <f>IFERROR(INDEX(TabInst[TIPO],MATCH(LO[[#This Row],[INSTITUIÇÃO]],TabInst[DESCRIÇÃO],0)),"")</f>
        <v/>
      </c>
      <c r="R164" t="str">
        <f>IFERROR(INDEX(TabInst[INSTITUIÇÃO],MATCH(LO[[#This Row],[INSTITUIÇÃO]],TabInst[DESCRIÇÃO],0)),"")</f>
        <v/>
      </c>
      <c r="S164" t="str">
        <f>PROPER(TEXT(LO[[#This Row],[DT Venc]],"MMM"))</f>
        <v>Nov</v>
      </c>
      <c r="T164">
        <f>YEAR(LO[[#This Row],[DT Venc]])</f>
        <v>2026</v>
      </c>
      <c r="U164" t="str">
        <f>IFERROR(VLOOKUP(LO[[#This Row],[CATEGORIA]],TabCategoria[],2,FALSE),"")</f>
        <v/>
      </c>
      <c r="V164" t="str">
        <f>IF(LO[[#This Row],[CONTA/CARTAO]]="Cartão","Cartão",IF(LO[[#This Row],[CATEGORIA]]="Pagamento de Cartão","Fatura",""))</f>
        <v/>
      </c>
      <c r="W164">
        <f>IF(LO[[#This Row],[Tipo]]="Receita",LO[[#This Row],[Valor]],IF(LO[[#This Row],[Tipo]]="Despesa",-LO[[#This Row],[Valor]],0))</f>
        <v>-66.900000000000006</v>
      </c>
    </row>
    <row r="165" spans="2:23" hidden="1" x14ac:dyDescent="0.3">
      <c r="B165" s="11">
        <v>46125</v>
      </c>
      <c r="C165" s="11">
        <v>46336</v>
      </c>
      <c r="D165" t="s">
        <v>326</v>
      </c>
      <c r="E165" s="28">
        <v>391</v>
      </c>
      <c r="F165" t="s">
        <v>353</v>
      </c>
      <c r="G165" t="s">
        <v>354</v>
      </c>
      <c r="H165" t="s">
        <v>313</v>
      </c>
      <c r="I165" t="s">
        <v>352</v>
      </c>
      <c r="J165" t="str">
        <f>IFERROR(VLOOKUP(LO[[#This Row],[Descrição]],TabCategoria[],2,FALSE),"")</f>
        <v>NÃO OPERACIONAL</v>
      </c>
      <c r="K165" t="str">
        <f>IFERROR(VLOOKUP(LO[[#This Row],[Descrição]],TabCategoria[],3,FALSE),"")</f>
        <v>DESPESA</v>
      </c>
      <c r="L165" t="str">
        <f>IFERROR(VLOOKUP(LO[[#This Row],[Descrição]],TabCategoria[],4,FALSE),"")</f>
        <v>Empréstimo</v>
      </c>
      <c r="M165" t="str">
        <f>IFERROR(VLOOKUP(LO[[#This Row],[Descrição]],TabCategoria[],5,FALSE),"")</f>
        <v>Empréstimo Pessoal - Banco</v>
      </c>
      <c r="N165">
        <f>SUMIFS(TabCategoria[Meta Mês],TabCategoria[Categoria],LO[[#This Row],[CATEGORIA]])</f>
        <v>0</v>
      </c>
      <c r="O165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16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5" t="str">
        <f>IFERROR(INDEX(TabInst[TIPO],MATCH(LO[[#This Row],[INSTITUIÇÃO]],TabInst[DESCRIÇÃO],0)),"")</f>
        <v/>
      </c>
      <c r="R165" t="str">
        <f>IFERROR(INDEX(TabInst[INSTITUIÇÃO],MATCH(LO[[#This Row],[INSTITUIÇÃO]],TabInst[DESCRIÇÃO],0)),"")</f>
        <v/>
      </c>
      <c r="S165" t="str">
        <f>PROPER(TEXT(LO[[#This Row],[DT Venc]],"MMM"))</f>
        <v>Nov</v>
      </c>
      <c r="T165">
        <f>YEAR(LO[[#This Row],[DT Venc]])</f>
        <v>2026</v>
      </c>
      <c r="U165" t="str">
        <f>IFERROR(VLOOKUP(LO[[#This Row],[CATEGORIA]],TabCategoria[],2,FALSE),"")</f>
        <v/>
      </c>
      <c r="V165" t="str">
        <f>IF(LO[[#This Row],[CONTA/CARTAO]]="Cartão","Cartão",IF(LO[[#This Row],[CATEGORIA]]="Pagamento de Cartão","Fatura",""))</f>
        <v/>
      </c>
      <c r="W165">
        <f>IF(LO[[#This Row],[Tipo]]="Receita",LO[[#This Row],[Valor]],IF(LO[[#This Row],[Tipo]]="Despesa",-LO[[#This Row],[Valor]],0))</f>
        <v>-391</v>
      </c>
    </row>
    <row r="166" spans="2:23" hidden="1" x14ac:dyDescent="0.3">
      <c r="B166" s="11">
        <v>46327</v>
      </c>
      <c r="C166" s="11">
        <v>46357</v>
      </c>
      <c r="D166" t="s">
        <v>302</v>
      </c>
      <c r="E166" s="28">
        <v>2927</v>
      </c>
      <c r="F166" t="s">
        <v>284</v>
      </c>
      <c r="G166" t="s">
        <v>337</v>
      </c>
      <c r="H166" t="s">
        <v>313</v>
      </c>
      <c r="J166" t="str">
        <f>IFERROR(VLOOKUP(LO[[#This Row],[Descrição]],TabCategoria[],2,FALSE),"")</f>
        <v>OPERACIONAL</v>
      </c>
      <c r="K166" t="str">
        <f>IFERROR(VLOOKUP(LO[[#This Row],[Descrição]],TabCategoria[],3,FALSE),"")</f>
        <v>RECEITA</v>
      </c>
      <c r="L166" t="str">
        <f>IFERROR(VLOOKUP(LO[[#This Row],[Descrição]],TabCategoria[],4,FALSE),"")</f>
        <v>Renda Principal</v>
      </c>
      <c r="M166" t="str">
        <f>IFERROR(VLOOKUP(LO[[#This Row],[Descrição]],TabCategoria[],5,FALSE),"")</f>
        <v>Salário Principal</v>
      </c>
      <c r="N166">
        <f>SUMIFS(TabCategoria[Meta Mês],TabCategoria[Categoria],LO[[#This Row],[CATEGORIA]])</f>
        <v>0</v>
      </c>
      <c r="O166" s="68">
        <f>SUMIFS(LO[Valor],LO[CATEGORIA],LO[[#This Row],[CATEGORIA]],LO[ANO],LO[[#This Row],[ANO]],LO[MÊS],LO[[#This Row],[MÊS]])
/COUNTIFS(LO[CATEGORIA],LO[[#This Row],[CATEGORIA]],LO[ANO],LO[[#This Row],[ANO]],LO[MÊS],LO[[#This Row],[MÊS]])</f>
        <v>2927</v>
      </c>
      <c r="P16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6" t="str">
        <f>IFERROR(INDEX(TabInst[TIPO],MATCH(LO[[#This Row],[INSTITUIÇÃO]],TabInst[DESCRIÇÃO],0)),"")</f>
        <v/>
      </c>
      <c r="R166" t="str">
        <f>IFERROR(INDEX(TabInst[INSTITUIÇÃO],MATCH(LO[[#This Row],[INSTITUIÇÃO]],TabInst[DESCRIÇÃO],0)),"")</f>
        <v/>
      </c>
      <c r="S166" t="str">
        <f>PROPER(TEXT(LO[[#This Row],[DT Venc]],"MMM"))</f>
        <v>Dec</v>
      </c>
      <c r="T166">
        <f>YEAR(LO[[#This Row],[DT Venc]])</f>
        <v>2026</v>
      </c>
      <c r="U166" t="str">
        <f>IFERROR(VLOOKUP(LO[[#This Row],[CATEGORIA]],TabCategoria[],2,FALSE),"")</f>
        <v/>
      </c>
      <c r="V166" t="str">
        <f>IF(LO[[#This Row],[CONTA/CARTAO]]="Cartão","Cartão",IF(LO[[#This Row],[CATEGORIA]]="Pagamento de Cartão","Fatura",""))</f>
        <v/>
      </c>
      <c r="W166">
        <f>IF(LO[[#This Row],[Tipo]]="Receita",LO[[#This Row],[Valor]],IF(LO[[#This Row],[Tipo]]="Despesa",-LO[[#This Row],[Valor]],0))</f>
        <v>2927</v>
      </c>
    </row>
    <row r="167" spans="2:23" hidden="1" x14ac:dyDescent="0.3">
      <c r="B167" s="11">
        <v>46327</v>
      </c>
      <c r="C167" s="11">
        <v>46357</v>
      </c>
      <c r="D167" t="s">
        <v>326</v>
      </c>
      <c r="E167" s="28">
        <v>188.68</v>
      </c>
      <c r="F167" t="s">
        <v>284</v>
      </c>
      <c r="G167" t="s">
        <v>282</v>
      </c>
      <c r="H167" t="s">
        <v>313</v>
      </c>
      <c r="J167" t="str">
        <f>IFERROR(VLOOKUP(LO[[#This Row],[Descrição]],TabCategoria[],2,FALSE),"")</f>
        <v>NÃO OPERACIONAL</v>
      </c>
      <c r="K167" t="str">
        <f>IFERROR(VLOOKUP(LO[[#This Row],[Descrição]],TabCategoria[],3,FALSE),"")</f>
        <v>DESPESA</v>
      </c>
      <c r="L167" t="str">
        <f>IFERROR(VLOOKUP(LO[[#This Row],[Descrição]],TabCategoria[],4,FALSE),"")</f>
        <v>Empréstimo</v>
      </c>
      <c r="M167" t="str">
        <f>IFERROR(VLOOKUP(LO[[#This Row],[Descrição]],TabCategoria[],5,FALSE),"")</f>
        <v>Empréstimo Pessoal - Banco</v>
      </c>
      <c r="N167">
        <f>SUMIFS(TabCategoria[Meta Mês],TabCategoria[Categoria],LO[[#This Row],[CATEGORIA]])</f>
        <v>0</v>
      </c>
      <c r="O167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16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7" t="str">
        <f>IFERROR(INDEX(TabInst[TIPO],MATCH(LO[[#This Row],[INSTITUIÇÃO]],TabInst[DESCRIÇÃO],0)),"")</f>
        <v/>
      </c>
      <c r="R167" t="str">
        <f>IFERROR(INDEX(TabInst[INSTITUIÇÃO],MATCH(LO[[#This Row],[INSTITUIÇÃO]],TabInst[DESCRIÇÃO],0)),"")</f>
        <v/>
      </c>
      <c r="S167" t="str">
        <f>PROPER(TEXT(LO[[#This Row],[DT Venc]],"MMM"))</f>
        <v>Dec</v>
      </c>
      <c r="T167">
        <f>YEAR(LO[[#This Row],[DT Venc]])</f>
        <v>2026</v>
      </c>
      <c r="U167" t="str">
        <f>IFERROR(VLOOKUP(LO[[#This Row],[CATEGORIA]],TabCategoria[],2,FALSE),"")</f>
        <v/>
      </c>
      <c r="V167" t="str">
        <f>IF(LO[[#This Row],[CONTA/CARTAO]]="Cartão","Cartão",IF(LO[[#This Row],[CATEGORIA]]="Pagamento de Cartão","Fatura",""))</f>
        <v/>
      </c>
      <c r="W167">
        <f>IF(LO[[#This Row],[Tipo]]="Receita",LO[[#This Row],[Valor]],IF(LO[[#This Row],[Tipo]]="Despesa",-LO[[#This Row],[Valor]],0))</f>
        <v>-188.68</v>
      </c>
    </row>
    <row r="168" spans="2:23" hidden="1" x14ac:dyDescent="0.3">
      <c r="B168" s="11">
        <v>46327</v>
      </c>
      <c r="C168" s="11">
        <v>46357</v>
      </c>
      <c r="D168" t="s">
        <v>318</v>
      </c>
      <c r="E168" s="28">
        <v>250</v>
      </c>
      <c r="F168" t="s">
        <v>284</v>
      </c>
      <c r="G168" t="s">
        <v>280</v>
      </c>
      <c r="H168" t="s">
        <v>313</v>
      </c>
      <c r="J168" t="str">
        <f>IFERROR(VLOOKUP(LO[[#This Row],[Descrição]],TabCategoria[],2,FALSE),"")</f>
        <v>OPERACIONAL</v>
      </c>
      <c r="K168" t="str">
        <f>IFERROR(VLOOKUP(LO[[#This Row],[Descrição]],TabCategoria[],3,FALSE),"")</f>
        <v>DESPESA</v>
      </c>
      <c r="L168" t="str">
        <f>IFERROR(VLOOKUP(LO[[#This Row],[Descrição]],TabCategoria[],4,FALSE),"")</f>
        <v>Moradia</v>
      </c>
      <c r="M168" t="str">
        <f>IFERROR(VLOOKUP(LO[[#This Row],[Descrição]],TabCategoria[],5,FALSE),"")</f>
        <v>Água</v>
      </c>
      <c r="N168">
        <f>SUMIFS(TabCategoria[Meta Mês],TabCategoria[Categoria],LO[[#This Row],[CATEGORIA]])</f>
        <v>0</v>
      </c>
      <c r="O168" s="68">
        <f>SUMIFS(LO[Valor],LO[CATEGORIA],LO[[#This Row],[CATEGORIA]],LO[ANO],LO[[#This Row],[ANO]],LO[MÊS],LO[[#This Row],[MÊS]])
/COUNTIFS(LO[CATEGORIA],LO[[#This Row],[CATEGORIA]],LO[ANO],LO[[#This Row],[ANO]],LO[MÊS],LO[[#This Row],[MÊS]])</f>
        <v>250</v>
      </c>
      <c r="P16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8" t="str">
        <f>IFERROR(INDEX(TabInst[TIPO],MATCH(LO[[#This Row],[INSTITUIÇÃO]],TabInst[DESCRIÇÃO],0)),"")</f>
        <v/>
      </c>
      <c r="R168" t="str">
        <f>IFERROR(INDEX(TabInst[INSTITUIÇÃO],MATCH(LO[[#This Row],[INSTITUIÇÃO]],TabInst[DESCRIÇÃO],0)),"")</f>
        <v/>
      </c>
      <c r="S168" t="str">
        <f>PROPER(TEXT(LO[[#This Row],[DT Venc]],"MMM"))</f>
        <v>Dec</v>
      </c>
      <c r="T168">
        <f>YEAR(LO[[#This Row],[DT Venc]])</f>
        <v>2026</v>
      </c>
      <c r="U168" t="str">
        <f>IFERROR(VLOOKUP(LO[[#This Row],[CATEGORIA]],TabCategoria[],2,FALSE),"")</f>
        <v/>
      </c>
      <c r="V168" t="str">
        <f>IF(LO[[#This Row],[CONTA/CARTAO]]="Cartão","Cartão",IF(LO[[#This Row],[CATEGORIA]]="Pagamento de Cartão","Fatura",""))</f>
        <v/>
      </c>
      <c r="W168">
        <f>IF(LO[[#This Row],[Tipo]]="Receita",LO[[#This Row],[Valor]],IF(LO[[#This Row],[Tipo]]="Despesa",-LO[[#This Row],[Valor]],0))</f>
        <v>-250</v>
      </c>
    </row>
    <row r="169" spans="2:23" hidden="1" x14ac:dyDescent="0.3">
      <c r="B169" s="11">
        <v>46327</v>
      </c>
      <c r="C169" s="11">
        <v>46357</v>
      </c>
      <c r="D169" t="s">
        <v>319</v>
      </c>
      <c r="E169" s="28">
        <v>150</v>
      </c>
      <c r="F169" t="s">
        <v>284</v>
      </c>
      <c r="G169" t="s">
        <v>280</v>
      </c>
      <c r="H169" t="s">
        <v>313</v>
      </c>
      <c r="J169" t="str">
        <f>IFERROR(VLOOKUP(LO[[#This Row],[Descrição]],TabCategoria[],2,FALSE),"")</f>
        <v>OPERACIONAL</v>
      </c>
      <c r="K169" t="str">
        <f>IFERROR(VLOOKUP(LO[[#This Row],[Descrição]],TabCategoria[],3,FALSE),"")</f>
        <v>DESPESA</v>
      </c>
      <c r="L169" t="str">
        <f>IFERROR(VLOOKUP(LO[[#This Row],[Descrição]],TabCategoria[],4,FALSE),"")</f>
        <v>Transporte</v>
      </c>
      <c r="M169" t="str">
        <f>IFERROR(VLOOKUP(LO[[#This Row],[Descrição]],TabCategoria[],5,FALSE),"")</f>
        <v>Combustível</v>
      </c>
      <c r="N169">
        <f>SUMIFS(TabCategoria[Meta Mês],TabCategoria[Categoria],LO[[#This Row],[CATEGORIA]])</f>
        <v>0</v>
      </c>
      <c r="O169" s="68">
        <f>SUMIFS(LO[Valor],LO[CATEGORIA],LO[[#This Row],[CATEGORIA]],LO[ANO],LO[[#This Row],[ANO]],LO[MÊS],LO[[#This Row],[MÊS]])
/COUNTIFS(LO[CATEGORIA],LO[[#This Row],[CATEGORIA]],LO[ANO],LO[[#This Row],[ANO]],LO[MÊS],LO[[#This Row],[MÊS]])</f>
        <v>150</v>
      </c>
      <c r="P16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69" t="str">
        <f>IFERROR(INDEX(TabInst[TIPO],MATCH(LO[[#This Row],[INSTITUIÇÃO]],TabInst[DESCRIÇÃO],0)),"")</f>
        <v/>
      </c>
      <c r="R169" t="str">
        <f>IFERROR(INDEX(TabInst[INSTITUIÇÃO],MATCH(LO[[#This Row],[INSTITUIÇÃO]],TabInst[DESCRIÇÃO],0)),"")</f>
        <v/>
      </c>
      <c r="S169" t="str">
        <f>PROPER(TEXT(LO[[#This Row],[DT Venc]],"MMM"))</f>
        <v>Dec</v>
      </c>
      <c r="T169">
        <f>YEAR(LO[[#This Row],[DT Venc]])</f>
        <v>2026</v>
      </c>
      <c r="U169" t="str">
        <f>IFERROR(VLOOKUP(LO[[#This Row],[CATEGORIA]],TabCategoria[],2,FALSE),"")</f>
        <v/>
      </c>
      <c r="V169" t="str">
        <f>IF(LO[[#This Row],[CONTA/CARTAO]]="Cartão","Cartão",IF(LO[[#This Row],[CATEGORIA]]="Pagamento de Cartão","Fatura",""))</f>
        <v/>
      </c>
      <c r="W169">
        <f>IF(LO[[#This Row],[Tipo]]="Receita",LO[[#This Row],[Valor]],IF(LO[[#This Row],[Tipo]]="Despesa",-LO[[#This Row],[Valor]],0))</f>
        <v>-150</v>
      </c>
    </row>
    <row r="170" spans="2:23" hidden="1" x14ac:dyDescent="0.3">
      <c r="B170" s="11">
        <v>46327</v>
      </c>
      <c r="C170" s="11">
        <v>46357</v>
      </c>
      <c r="D170" t="s">
        <v>286</v>
      </c>
      <c r="E170" s="28">
        <v>45</v>
      </c>
      <c r="F170" t="s">
        <v>284</v>
      </c>
      <c r="G170" t="s">
        <v>281</v>
      </c>
      <c r="H170" t="s">
        <v>313</v>
      </c>
      <c r="J170" t="str">
        <f>IFERROR(VLOOKUP(LO[[#This Row],[Descrição]],TabCategoria[],2,FALSE),"")</f>
        <v>OPERACIONAL</v>
      </c>
      <c r="K170" t="str">
        <f>IFERROR(VLOOKUP(LO[[#This Row],[Descrição]],TabCategoria[],3,FALSE),"")</f>
        <v>DESPESA</v>
      </c>
      <c r="L170" t="str">
        <f>IFERROR(VLOOKUP(LO[[#This Row],[Descrição]],TabCategoria[],4,FALSE),"")</f>
        <v>Comunicação</v>
      </c>
      <c r="M170" t="str">
        <f>IFERROR(VLOOKUP(LO[[#This Row],[Descrição]],TabCategoria[],5,FALSE),"")</f>
        <v>Internet</v>
      </c>
      <c r="N170">
        <f>SUMIFS(TabCategoria[Meta Mês],TabCategoria[Categoria],LO[[#This Row],[CATEGORIA]])</f>
        <v>0</v>
      </c>
      <c r="O170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7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0" t="str">
        <f>IFERROR(INDEX(TabInst[TIPO],MATCH(LO[[#This Row],[INSTITUIÇÃO]],TabInst[DESCRIÇÃO],0)),"")</f>
        <v/>
      </c>
      <c r="R170" t="str">
        <f>IFERROR(INDEX(TabInst[INSTITUIÇÃO],MATCH(LO[[#This Row],[INSTITUIÇÃO]],TabInst[DESCRIÇÃO],0)),"")</f>
        <v/>
      </c>
      <c r="S170" t="str">
        <f>PROPER(TEXT(LO[[#This Row],[DT Venc]],"MMM"))</f>
        <v>Dec</v>
      </c>
      <c r="T170">
        <f>YEAR(LO[[#This Row],[DT Venc]])</f>
        <v>2026</v>
      </c>
      <c r="U170" t="str">
        <f>IFERROR(VLOOKUP(LO[[#This Row],[CATEGORIA]],TabCategoria[],2,FALSE),"")</f>
        <v/>
      </c>
      <c r="V170" t="str">
        <f>IF(LO[[#This Row],[CONTA/CARTAO]]="Cartão","Cartão",IF(LO[[#This Row],[CATEGORIA]]="Pagamento de Cartão","Fatura",""))</f>
        <v/>
      </c>
      <c r="W170">
        <f>IF(LO[[#This Row],[Tipo]]="Receita",LO[[#This Row],[Valor]],IF(LO[[#This Row],[Tipo]]="Despesa",-LO[[#This Row],[Valor]],0))</f>
        <v>-45</v>
      </c>
    </row>
    <row r="171" spans="2:23" hidden="1" x14ac:dyDescent="0.3">
      <c r="B171" s="11">
        <v>46327</v>
      </c>
      <c r="C171" s="11">
        <v>46357</v>
      </c>
      <c r="D171" t="s">
        <v>287</v>
      </c>
      <c r="E171" s="28">
        <v>137</v>
      </c>
      <c r="F171" t="s">
        <v>284</v>
      </c>
      <c r="G171" t="s">
        <v>280</v>
      </c>
      <c r="H171" t="s">
        <v>313</v>
      </c>
      <c r="J171" t="str">
        <f>IFERROR(VLOOKUP(LO[[#This Row],[Descrição]],TabCategoria[],2,FALSE),"")</f>
        <v>NÃO OPERACIONAL</v>
      </c>
      <c r="K171" t="str">
        <f>IFERROR(VLOOKUP(LO[[#This Row],[Descrição]],TabCategoria[],3,FALSE),"")</f>
        <v>DESPESA</v>
      </c>
      <c r="L171" t="str">
        <f>IFERROR(VLOOKUP(LO[[#This Row],[Descrição]],TabCategoria[],4,FALSE),"")</f>
        <v>Pessoais</v>
      </c>
      <c r="M171" t="str">
        <f>IFERROR(VLOOKUP(LO[[#This Row],[Descrição]],TabCategoria[],5,FALSE),"")</f>
        <v>INTERNET CELULAR</v>
      </c>
      <c r="N171">
        <f>SUMIFS(TabCategoria[Meta Mês],TabCategoria[Categoria],LO[[#This Row],[CATEGORIA]])</f>
        <v>0</v>
      </c>
      <c r="O171" s="68">
        <f>SUMIFS(LO[Valor],LO[CATEGORIA],LO[[#This Row],[CATEGORIA]],LO[ANO],LO[[#This Row],[ANO]],LO[MÊS],LO[[#This Row],[MÊS]])
/COUNTIFS(LO[CATEGORIA],LO[[#This Row],[CATEGORIA]],LO[ANO],LO[[#This Row],[ANO]],LO[MÊS],LO[[#This Row],[MÊS]])</f>
        <v>137</v>
      </c>
      <c r="P17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1" t="str">
        <f>IFERROR(INDEX(TabInst[TIPO],MATCH(LO[[#This Row],[INSTITUIÇÃO]],TabInst[DESCRIÇÃO],0)),"")</f>
        <v/>
      </c>
      <c r="R171" t="str">
        <f>IFERROR(INDEX(TabInst[INSTITUIÇÃO],MATCH(LO[[#This Row],[INSTITUIÇÃO]],TabInst[DESCRIÇÃO],0)),"")</f>
        <v/>
      </c>
      <c r="S171" t="str">
        <f>PROPER(TEXT(LO[[#This Row],[DT Venc]],"MMM"))</f>
        <v>Dec</v>
      </c>
      <c r="T171">
        <f>YEAR(LO[[#This Row],[DT Venc]])</f>
        <v>2026</v>
      </c>
      <c r="U171" t="str">
        <f>IFERROR(VLOOKUP(LO[[#This Row],[CATEGORIA]],TabCategoria[],2,FALSE),"")</f>
        <v/>
      </c>
      <c r="V171" t="str">
        <f>IF(LO[[#This Row],[CONTA/CARTAO]]="Cartão","Cartão",IF(LO[[#This Row],[CATEGORIA]]="Pagamento de Cartão","Fatura",""))</f>
        <v/>
      </c>
      <c r="W171">
        <f>IF(LO[[#This Row],[Tipo]]="Receita",LO[[#This Row],[Valor]],IF(LO[[#This Row],[Tipo]]="Despesa",-LO[[#This Row],[Valor]],0))</f>
        <v>-137</v>
      </c>
    </row>
    <row r="172" spans="2:23" hidden="1" x14ac:dyDescent="0.3">
      <c r="B172" s="11">
        <v>46327</v>
      </c>
      <c r="C172" s="11">
        <v>46357</v>
      </c>
      <c r="D172" t="s">
        <v>288</v>
      </c>
      <c r="E172" s="28">
        <v>21</v>
      </c>
      <c r="F172" t="s">
        <v>284</v>
      </c>
      <c r="G172" t="s">
        <v>281</v>
      </c>
      <c r="H172" t="s">
        <v>313</v>
      </c>
      <c r="J172" t="str">
        <f>IFERROR(VLOOKUP(LO[[#This Row],[Descrição]],TabCategoria[],2,FALSE),"")</f>
        <v>OPERACIONAL</v>
      </c>
      <c r="K172" t="str">
        <f>IFERROR(VLOOKUP(LO[[#This Row],[Descrição]],TabCategoria[],3,FALSE),"")</f>
        <v>DESPESA</v>
      </c>
      <c r="L172" t="str">
        <f>IFERROR(VLOOKUP(LO[[#This Row],[Descrição]],TabCategoria[],4,FALSE),"")</f>
        <v>Comunicação</v>
      </c>
      <c r="M172" t="str">
        <f>IFERROR(VLOOKUP(LO[[#This Row],[Descrição]],TabCategoria[],5,FALSE),"")</f>
        <v>Apps (Netflix, Spotify, Skype, etc)</v>
      </c>
      <c r="N172">
        <f>SUMIFS(TabCategoria[Meta Mês],TabCategoria[Categoria],LO[[#This Row],[CATEGORIA]])</f>
        <v>0</v>
      </c>
      <c r="O172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7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2" t="str">
        <f>IFERROR(INDEX(TabInst[TIPO],MATCH(LO[[#This Row],[INSTITUIÇÃO]],TabInst[DESCRIÇÃO],0)),"")</f>
        <v/>
      </c>
      <c r="R172" t="str">
        <f>IFERROR(INDEX(TabInst[INSTITUIÇÃO],MATCH(LO[[#This Row],[INSTITUIÇÃO]],TabInst[DESCRIÇÃO],0)),"")</f>
        <v/>
      </c>
      <c r="S172" t="str">
        <f>PROPER(TEXT(LO[[#This Row],[DT Venc]],"MMM"))</f>
        <v>Dec</v>
      </c>
      <c r="T172">
        <f>YEAR(LO[[#This Row],[DT Venc]])</f>
        <v>2026</v>
      </c>
      <c r="U172" t="str">
        <f>IFERROR(VLOOKUP(LO[[#This Row],[CATEGORIA]],TabCategoria[],2,FALSE),"")</f>
        <v/>
      </c>
      <c r="V172" t="str">
        <f>IF(LO[[#This Row],[CONTA/CARTAO]]="Cartão","Cartão",IF(LO[[#This Row],[CATEGORIA]]="Pagamento de Cartão","Fatura",""))</f>
        <v/>
      </c>
      <c r="W172">
        <f>IF(LO[[#This Row],[Tipo]]="Receita",LO[[#This Row],[Valor]],IF(LO[[#This Row],[Tipo]]="Despesa",-LO[[#This Row],[Valor]],0))</f>
        <v>-21</v>
      </c>
    </row>
    <row r="173" spans="2:23" hidden="1" x14ac:dyDescent="0.3">
      <c r="B173" s="11">
        <v>46327</v>
      </c>
      <c r="C173" s="11">
        <v>46357</v>
      </c>
      <c r="D173" t="s">
        <v>288</v>
      </c>
      <c r="E173" s="28">
        <v>24.9</v>
      </c>
      <c r="F173" t="s">
        <v>284</v>
      </c>
      <c r="G173" t="s">
        <v>281</v>
      </c>
      <c r="H173" t="s">
        <v>313</v>
      </c>
      <c r="J173" t="str">
        <f>IFERROR(VLOOKUP(LO[[#This Row],[Descrição]],TabCategoria[],2,FALSE),"")</f>
        <v>OPERACIONAL</v>
      </c>
      <c r="K173" t="str">
        <f>IFERROR(VLOOKUP(LO[[#This Row],[Descrição]],TabCategoria[],3,FALSE),"")</f>
        <v>DESPESA</v>
      </c>
      <c r="L173" t="str">
        <f>IFERROR(VLOOKUP(LO[[#This Row],[Descrição]],TabCategoria[],4,FALSE),"")</f>
        <v>Comunicação</v>
      </c>
      <c r="M173" t="str">
        <f>IFERROR(VLOOKUP(LO[[#This Row],[Descrição]],TabCategoria[],5,FALSE),"")</f>
        <v>Apps (Netflix, Spotify, Skype, etc)</v>
      </c>
      <c r="N173">
        <f>SUMIFS(TabCategoria[Meta Mês],TabCategoria[Categoria],LO[[#This Row],[CATEGORIA]])</f>
        <v>0</v>
      </c>
      <c r="O173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7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3" t="str">
        <f>IFERROR(INDEX(TabInst[TIPO],MATCH(LO[[#This Row],[INSTITUIÇÃO]],TabInst[DESCRIÇÃO],0)),"")</f>
        <v/>
      </c>
      <c r="R173" t="str">
        <f>IFERROR(INDEX(TabInst[INSTITUIÇÃO],MATCH(LO[[#This Row],[INSTITUIÇÃO]],TabInst[DESCRIÇÃO],0)),"")</f>
        <v/>
      </c>
      <c r="S173" t="str">
        <f>PROPER(TEXT(LO[[#This Row],[DT Venc]],"MMM"))</f>
        <v>Dec</v>
      </c>
      <c r="T173">
        <f>YEAR(LO[[#This Row],[DT Venc]])</f>
        <v>2026</v>
      </c>
      <c r="U173" t="str">
        <f>IFERROR(VLOOKUP(LO[[#This Row],[CATEGORIA]],TabCategoria[],2,FALSE),"")</f>
        <v/>
      </c>
      <c r="V173" t="str">
        <f>IF(LO[[#This Row],[CONTA/CARTAO]]="Cartão","Cartão",IF(LO[[#This Row],[CATEGORIA]]="Pagamento de Cartão","Fatura",""))</f>
        <v/>
      </c>
      <c r="W173">
        <f>IF(LO[[#This Row],[Tipo]]="Receita",LO[[#This Row],[Valor]],IF(LO[[#This Row],[Tipo]]="Despesa",-LO[[#This Row],[Valor]],0))</f>
        <v>-24.9</v>
      </c>
    </row>
    <row r="174" spans="2:23" hidden="1" x14ac:dyDescent="0.3">
      <c r="B174" s="11">
        <v>46327</v>
      </c>
      <c r="C174" s="11">
        <v>46357</v>
      </c>
      <c r="D174" t="s">
        <v>288</v>
      </c>
      <c r="E174" s="28">
        <v>35</v>
      </c>
      <c r="F174" t="s">
        <v>284</v>
      </c>
      <c r="G174" t="s">
        <v>281</v>
      </c>
      <c r="H174" t="s">
        <v>313</v>
      </c>
      <c r="J174" t="str">
        <f>IFERROR(VLOOKUP(LO[[#This Row],[Descrição]],TabCategoria[],2,FALSE),"")</f>
        <v>OPERACIONAL</v>
      </c>
      <c r="K174" t="str">
        <f>IFERROR(VLOOKUP(LO[[#This Row],[Descrição]],TabCategoria[],3,FALSE),"")</f>
        <v>DESPESA</v>
      </c>
      <c r="L174" t="str">
        <f>IFERROR(VLOOKUP(LO[[#This Row],[Descrição]],TabCategoria[],4,FALSE),"")</f>
        <v>Comunicação</v>
      </c>
      <c r="M174" t="str">
        <f>IFERROR(VLOOKUP(LO[[#This Row],[Descrição]],TabCategoria[],5,FALSE),"")</f>
        <v>Apps (Netflix, Spotify, Skype, etc)</v>
      </c>
      <c r="N174">
        <f>SUMIFS(TabCategoria[Meta Mês],TabCategoria[Categoria],LO[[#This Row],[CATEGORIA]])</f>
        <v>0</v>
      </c>
      <c r="O174" s="68">
        <f>SUMIFS(LO[Valor],LO[CATEGORIA],LO[[#This Row],[CATEGORIA]],LO[ANO],LO[[#This Row],[ANO]],LO[MÊS],LO[[#This Row],[MÊS]])
/COUNTIFS(LO[CATEGORIA],LO[[#This Row],[CATEGORIA]],LO[ANO],LO[[#This Row],[ANO]],LO[MÊS],LO[[#This Row],[MÊS]])</f>
        <v>31.475000000000001</v>
      </c>
      <c r="P17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4" t="str">
        <f>IFERROR(INDEX(TabInst[TIPO],MATCH(LO[[#This Row],[INSTITUIÇÃO]],TabInst[DESCRIÇÃO],0)),"")</f>
        <v/>
      </c>
      <c r="R174" t="str">
        <f>IFERROR(INDEX(TabInst[INSTITUIÇÃO],MATCH(LO[[#This Row],[INSTITUIÇÃO]],TabInst[DESCRIÇÃO],0)),"")</f>
        <v/>
      </c>
      <c r="S174" t="str">
        <f>PROPER(TEXT(LO[[#This Row],[DT Venc]],"MMM"))</f>
        <v>Dec</v>
      </c>
      <c r="T174">
        <f>YEAR(LO[[#This Row],[DT Venc]])</f>
        <v>2026</v>
      </c>
      <c r="U174" t="str">
        <f>IFERROR(VLOOKUP(LO[[#This Row],[CATEGORIA]],TabCategoria[],2,FALSE),"")</f>
        <v/>
      </c>
      <c r="V174" t="str">
        <f>IF(LO[[#This Row],[CONTA/CARTAO]]="Cartão","Cartão",IF(LO[[#This Row],[CATEGORIA]]="Pagamento de Cartão","Fatura",""))</f>
        <v/>
      </c>
      <c r="W174">
        <f>IF(LO[[#This Row],[Tipo]]="Receita",LO[[#This Row],[Valor]],IF(LO[[#This Row],[Tipo]]="Despesa",-LO[[#This Row],[Valor]],0))</f>
        <v>-35</v>
      </c>
    </row>
    <row r="175" spans="2:23" hidden="1" x14ac:dyDescent="0.3">
      <c r="B175" s="11">
        <v>46327</v>
      </c>
      <c r="C175" s="11">
        <v>46357</v>
      </c>
      <c r="D175" t="s">
        <v>294</v>
      </c>
      <c r="E175" s="28">
        <v>66.900000000000006</v>
      </c>
      <c r="F175" t="s">
        <v>284</v>
      </c>
      <c r="G175" t="s">
        <v>282</v>
      </c>
      <c r="H175" t="s">
        <v>313</v>
      </c>
      <c r="J175" t="str">
        <f>IFERROR(VLOOKUP(LO[[#This Row],[Descrição]],TabCategoria[],2,FALSE),"")</f>
        <v>NÃO OPERACIONAL</v>
      </c>
      <c r="K175" t="str">
        <f>IFERROR(VLOOKUP(LO[[#This Row],[Descrição]],TabCategoria[],3,FALSE),"")</f>
        <v>DESPESA</v>
      </c>
      <c r="L175" t="str">
        <f>IFERROR(VLOOKUP(LO[[#This Row],[Descrição]],TabCategoria[],4,FALSE),"")</f>
        <v>Lazer</v>
      </c>
      <c r="M175" t="str">
        <f>IFERROR(VLOOKUP(LO[[#This Row],[Descrição]],TabCategoria[],5,FALSE),"")</f>
        <v>APPLE</v>
      </c>
      <c r="N175">
        <f>SUMIFS(TabCategoria[Meta Mês],TabCategoria[Categoria],LO[[#This Row],[CATEGORIA]])</f>
        <v>0</v>
      </c>
      <c r="O175" s="68">
        <f>SUMIFS(LO[Valor],LO[CATEGORIA],LO[[#This Row],[CATEGORIA]],LO[ANO],LO[[#This Row],[ANO]],LO[MÊS],LO[[#This Row],[MÊS]])
/COUNTIFS(LO[CATEGORIA],LO[[#This Row],[CATEGORIA]],LO[ANO],LO[[#This Row],[ANO]],LO[MÊS],LO[[#This Row],[MÊS]])</f>
        <v>66.900000000000006</v>
      </c>
      <c r="P17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5" t="str">
        <f>IFERROR(INDEX(TabInst[TIPO],MATCH(LO[[#This Row],[INSTITUIÇÃO]],TabInst[DESCRIÇÃO],0)),"")</f>
        <v/>
      </c>
      <c r="R175" t="str">
        <f>IFERROR(INDEX(TabInst[INSTITUIÇÃO],MATCH(LO[[#This Row],[INSTITUIÇÃO]],TabInst[DESCRIÇÃO],0)),"")</f>
        <v/>
      </c>
      <c r="S175" t="str">
        <f>PROPER(TEXT(LO[[#This Row],[DT Venc]],"MMM"))</f>
        <v>Dec</v>
      </c>
      <c r="T175">
        <f>YEAR(LO[[#This Row],[DT Venc]])</f>
        <v>2026</v>
      </c>
      <c r="U175" t="str">
        <f>IFERROR(VLOOKUP(LO[[#This Row],[CATEGORIA]],TabCategoria[],2,FALSE),"")</f>
        <v/>
      </c>
      <c r="V175" t="str">
        <f>IF(LO[[#This Row],[CONTA/CARTAO]]="Cartão","Cartão",IF(LO[[#This Row],[CATEGORIA]]="Pagamento de Cartão","Fatura",""))</f>
        <v/>
      </c>
      <c r="W175">
        <f>IF(LO[[#This Row],[Tipo]]="Receita",LO[[#This Row],[Valor]],IF(LO[[#This Row],[Tipo]]="Despesa",-LO[[#This Row],[Valor]],0))</f>
        <v>-66.900000000000006</v>
      </c>
    </row>
    <row r="176" spans="2:23" hidden="1" x14ac:dyDescent="0.3">
      <c r="B176" s="11">
        <v>46125</v>
      </c>
      <c r="C176" s="11">
        <v>46366</v>
      </c>
      <c r="D176" t="s">
        <v>326</v>
      </c>
      <c r="E176" s="28">
        <v>391</v>
      </c>
      <c r="F176" t="s">
        <v>353</v>
      </c>
      <c r="G176" t="s">
        <v>354</v>
      </c>
      <c r="H176" t="s">
        <v>313</v>
      </c>
      <c r="I176" t="s">
        <v>352</v>
      </c>
      <c r="J176" t="str">
        <f>IFERROR(VLOOKUP(LO[[#This Row],[Descrição]],TabCategoria[],2,FALSE),"")</f>
        <v>NÃO OPERACIONAL</v>
      </c>
      <c r="K176" t="str">
        <f>IFERROR(VLOOKUP(LO[[#This Row],[Descrição]],TabCategoria[],3,FALSE),"")</f>
        <v>DESPESA</v>
      </c>
      <c r="L176" t="str">
        <f>IFERROR(VLOOKUP(LO[[#This Row],[Descrição]],TabCategoria[],4,FALSE),"")</f>
        <v>Empréstimo</v>
      </c>
      <c r="M176" t="str">
        <f>IFERROR(VLOOKUP(LO[[#This Row],[Descrição]],TabCategoria[],5,FALSE),"")</f>
        <v>Empréstimo Pessoal - Banco</v>
      </c>
      <c r="N176">
        <f>SUMIFS(TabCategoria[Meta Mês],TabCategoria[Categoria],LO[[#This Row],[CATEGORIA]])</f>
        <v>0</v>
      </c>
      <c r="O176" s="68">
        <f>SUMIFS(LO[Valor],LO[CATEGORIA],LO[[#This Row],[CATEGORIA]],LO[ANO],LO[[#This Row],[ANO]],LO[MÊS],LO[[#This Row],[MÊS]])
/COUNTIFS(LO[CATEGORIA],LO[[#This Row],[CATEGORIA]],LO[ANO],LO[[#This Row],[ANO]],LO[MÊS],LO[[#This Row],[MÊS]])</f>
        <v>289.84000000000003</v>
      </c>
      <c r="P17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6" t="str">
        <f>IFERROR(INDEX(TabInst[TIPO],MATCH(LO[[#This Row],[INSTITUIÇÃO]],TabInst[DESCRIÇÃO],0)),"")</f>
        <v/>
      </c>
      <c r="R176" t="str">
        <f>IFERROR(INDEX(TabInst[INSTITUIÇÃO],MATCH(LO[[#This Row],[INSTITUIÇÃO]],TabInst[DESCRIÇÃO],0)),"")</f>
        <v/>
      </c>
      <c r="S176" t="str">
        <f>PROPER(TEXT(LO[[#This Row],[DT Venc]],"MMM"))</f>
        <v>Dec</v>
      </c>
      <c r="T176">
        <f>YEAR(LO[[#This Row],[DT Venc]])</f>
        <v>2026</v>
      </c>
      <c r="U176" t="str">
        <f>IFERROR(VLOOKUP(LO[[#This Row],[CATEGORIA]],TabCategoria[],2,FALSE),"")</f>
        <v/>
      </c>
      <c r="V176" t="str">
        <f>IF(LO[[#This Row],[CONTA/CARTAO]]="Cartão","Cartão",IF(LO[[#This Row],[CATEGORIA]]="Pagamento de Cartão","Fatura",""))</f>
        <v/>
      </c>
      <c r="W176">
        <f>IF(LO[[#This Row],[Tipo]]="Receita",LO[[#This Row],[Valor]],IF(LO[[#This Row],[Tipo]]="Despesa",-LO[[#This Row],[Valor]],0))</f>
        <v>-391</v>
      </c>
    </row>
    <row r="177" spans="2:23" hidden="1" x14ac:dyDescent="0.3">
      <c r="B177" s="11">
        <v>46125</v>
      </c>
      <c r="C177" s="11">
        <v>46397</v>
      </c>
      <c r="D177" t="s">
        <v>326</v>
      </c>
      <c r="E177" s="28">
        <v>391</v>
      </c>
      <c r="F177" t="s">
        <v>353</v>
      </c>
      <c r="G177" t="s">
        <v>354</v>
      </c>
      <c r="H177" t="s">
        <v>313</v>
      </c>
      <c r="I177" t="s">
        <v>352</v>
      </c>
      <c r="J177" t="str">
        <f>IFERROR(VLOOKUP(LO[[#This Row],[Descrição]],TabCategoria[],2,FALSE),"")</f>
        <v>NÃO OPERACIONAL</v>
      </c>
      <c r="K177" t="str">
        <f>IFERROR(VLOOKUP(LO[[#This Row],[Descrição]],TabCategoria[],3,FALSE),"")</f>
        <v>DESPESA</v>
      </c>
      <c r="L177" t="str">
        <f>IFERROR(VLOOKUP(LO[[#This Row],[Descrição]],TabCategoria[],4,FALSE),"")</f>
        <v>Empréstimo</v>
      </c>
      <c r="M177" t="str">
        <f>IFERROR(VLOOKUP(LO[[#This Row],[Descrição]],TabCategoria[],5,FALSE),"")</f>
        <v>Empréstimo Pessoal - Banco</v>
      </c>
      <c r="N177">
        <f>SUMIFS(TabCategoria[Meta Mês],TabCategoria[Categoria],LO[[#This Row],[CATEGORIA]])</f>
        <v>0</v>
      </c>
      <c r="O177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7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7" t="str">
        <f>IFERROR(INDEX(TabInst[TIPO],MATCH(LO[[#This Row],[INSTITUIÇÃO]],TabInst[DESCRIÇÃO],0)),"")</f>
        <v/>
      </c>
      <c r="R177" t="str">
        <f>IFERROR(INDEX(TabInst[INSTITUIÇÃO],MATCH(LO[[#This Row],[INSTITUIÇÃO]],TabInst[DESCRIÇÃO],0)),"")</f>
        <v/>
      </c>
      <c r="S177" t="str">
        <f>PROPER(TEXT(LO[[#This Row],[DT Venc]],"MMM"))</f>
        <v>Jan</v>
      </c>
      <c r="T177">
        <f>YEAR(LO[[#This Row],[DT Venc]])</f>
        <v>2027</v>
      </c>
      <c r="U177" t="str">
        <f>IFERROR(VLOOKUP(LO[[#This Row],[CATEGORIA]],TabCategoria[],2,FALSE),"")</f>
        <v/>
      </c>
      <c r="V177" t="str">
        <f>IF(LO[[#This Row],[CONTA/CARTAO]]="Cartão","Cartão",IF(LO[[#This Row],[CATEGORIA]]="Pagamento de Cartão","Fatura",""))</f>
        <v/>
      </c>
      <c r="W177">
        <f>IF(LO[[#This Row],[Tipo]]="Receita",LO[[#This Row],[Valor]],IF(LO[[#This Row],[Tipo]]="Despesa",-LO[[#This Row],[Valor]],0))</f>
        <v>-391</v>
      </c>
    </row>
    <row r="178" spans="2:23" hidden="1" x14ac:dyDescent="0.3">
      <c r="B178" s="11">
        <v>46125</v>
      </c>
      <c r="C178" s="11">
        <v>46428</v>
      </c>
      <c r="D178" t="s">
        <v>326</v>
      </c>
      <c r="E178" s="28">
        <v>391</v>
      </c>
      <c r="F178" t="s">
        <v>353</v>
      </c>
      <c r="G178" t="s">
        <v>354</v>
      </c>
      <c r="H178" t="s">
        <v>313</v>
      </c>
      <c r="I178" t="s">
        <v>352</v>
      </c>
      <c r="J178" t="str">
        <f>IFERROR(VLOOKUP(LO[[#This Row],[Descrição]],TabCategoria[],2,FALSE),"")</f>
        <v>NÃO OPERACIONAL</v>
      </c>
      <c r="K178" t="str">
        <f>IFERROR(VLOOKUP(LO[[#This Row],[Descrição]],TabCategoria[],3,FALSE),"")</f>
        <v>DESPESA</v>
      </c>
      <c r="L178" t="str">
        <f>IFERROR(VLOOKUP(LO[[#This Row],[Descrição]],TabCategoria[],4,FALSE),"")</f>
        <v>Empréstimo</v>
      </c>
      <c r="M178" t="str">
        <f>IFERROR(VLOOKUP(LO[[#This Row],[Descrição]],TabCategoria[],5,FALSE),"")</f>
        <v>Empréstimo Pessoal - Banco</v>
      </c>
      <c r="N178">
        <f>SUMIFS(TabCategoria[Meta Mês],TabCategoria[Categoria],LO[[#This Row],[CATEGORIA]])</f>
        <v>0</v>
      </c>
      <c r="O178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7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8" t="str">
        <f>IFERROR(INDEX(TabInst[TIPO],MATCH(LO[[#This Row],[INSTITUIÇÃO]],TabInst[DESCRIÇÃO],0)),"")</f>
        <v/>
      </c>
      <c r="R178" t="str">
        <f>IFERROR(INDEX(TabInst[INSTITUIÇÃO],MATCH(LO[[#This Row],[INSTITUIÇÃO]],TabInst[DESCRIÇÃO],0)),"")</f>
        <v/>
      </c>
      <c r="S178" t="str">
        <f>PROPER(TEXT(LO[[#This Row],[DT Venc]],"MMM"))</f>
        <v>Feb</v>
      </c>
      <c r="T178">
        <f>YEAR(LO[[#This Row],[DT Venc]])</f>
        <v>2027</v>
      </c>
      <c r="U178" t="str">
        <f>IFERROR(VLOOKUP(LO[[#This Row],[CATEGORIA]],TabCategoria[],2,FALSE),"")</f>
        <v/>
      </c>
      <c r="V178" t="str">
        <f>IF(LO[[#This Row],[CONTA/CARTAO]]="Cartão","Cartão",IF(LO[[#This Row],[CATEGORIA]]="Pagamento de Cartão","Fatura",""))</f>
        <v/>
      </c>
      <c r="W178">
        <f>IF(LO[[#This Row],[Tipo]]="Receita",LO[[#This Row],[Valor]],IF(LO[[#This Row],[Tipo]]="Despesa",-LO[[#This Row],[Valor]],0))</f>
        <v>-391</v>
      </c>
    </row>
    <row r="179" spans="2:23" hidden="1" x14ac:dyDescent="0.3">
      <c r="B179" s="11">
        <v>46125</v>
      </c>
      <c r="C179" s="11">
        <v>46456</v>
      </c>
      <c r="D179" t="s">
        <v>326</v>
      </c>
      <c r="E179" s="28">
        <v>391</v>
      </c>
      <c r="F179" t="s">
        <v>353</v>
      </c>
      <c r="G179" t="s">
        <v>354</v>
      </c>
      <c r="H179" t="s">
        <v>313</v>
      </c>
      <c r="I179" t="s">
        <v>352</v>
      </c>
      <c r="J179" t="str">
        <f>IFERROR(VLOOKUP(LO[[#This Row],[Descrição]],TabCategoria[],2,FALSE),"")</f>
        <v>NÃO OPERACIONAL</v>
      </c>
      <c r="K179" t="str">
        <f>IFERROR(VLOOKUP(LO[[#This Row],[Descrição]],TabCategoria[],3,FALSE),"")</f>
        <v>DESPESA</v>
      </c>
      <c r="L179" t="str">
        <f>IFERROR(VLOOKUP(LO[[#This Row],[Descrição]],TabCategoria[],4,FALSE),"")</f>
        <v>Empréstimo</v>
      </c>
      <c r="M179" t="str">
        <f>IFERROR(VLOOKUP(LO[[#This Row],[Descrição]],TabCategoria[],5,FALSE),"")</f>
        <v>Empréstimo Pessoal - Banco</v>
      </c>
      <c r="N179">
        <f>SUMIFS(TabCategoria[Meta Mês],TabCategoria[Categoria],LO[[#This Row],[CATEGORIA]])</f>
        <v>0</v>
      </c>
      <c r="O179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7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79" t="str">
        <f>IFERROR(INDEX(TabInst[TIPO],MATCH(LO[[#This Row],[INSTITUIÇÃO]],TabInst[DESCRIÇÃO],0)),"")</f>
        <v/>
      </c>
      <c r="R179" t="str">
        <f>IFERROR(INDEX(TabInst[INSTITUIÇÃO],MATCH(LO[[#This Row],[INSTITUIÇÃO]],TabInst[DESCRIÇÃO],0)),"")</f>
        <v/>
      </c>
      <c r="S179" t="str">
        <f>PROPER(TEXT(LO[[#This Row],[DT Venc]],"MMM"))</f>
        <v>Mar</v>
      </c>
      <c r="T179">
        <f>YEAR(LO[[#This Row],[DT Venc]])</f>
        <v>2027</v>
      </c>
      <c r="U179" t="str">
        <f>IFERROR(VLOOKUP(LO[[#This Row],[CATEGORIA]],TabCategoria[],2,FALSE),"")</f>
        <v/>
      </c>
      <c r="V179" t="str">
        <f>IF(LO[[#This Row],[CONTA/CARTAO]]="Cartão","Cartão",IF(LO[[#This Row],[CATEGORIA]]="Pagamento de Cartão","Fatura",""))</f>
        <v/>
      </c>
      <c r="W179">
        <f>IF(LO[[#This Row],[Tipo]]="Receita",LO[[#This Row],[Valor]],IF(LO[[#This Row],[Tipo]]="Despesa",-LO[[#This Row],[Valor]],0))</f>
        <v>-391</v>
      </c>
    </row>
    <row r="180" spans="2:23" hidden="1" x14ac:dyDescent="0.3">
      <c r="B180" s="11">
        <v>46125</v>
      </c>
      <c r="C180" s="11">
        <v>46487</v>
      </c>
      <c r="D180" t="s">
        <v>326</v>
      </c>
      <c r="E180" s="28">
        <v>391</v>
      </c>
      <c r="F180" t="s">
        <v>353</v>
      </c>
      <c r="G180" t="s">
        <v>354</v>
      </c>
      <c r="H180" t="s">
        <v>313</v>
      </c>
      <c r="I180" t="s">
        <v>352</v>
      </c>
      <c r="J180" t="str">
        <f>IFERROR(VLOOKUP(LO[[#This Row],[Descrição]],TabCategoria[],2,FALSE),"")</f>
        <v>NÃO OPERACIONAL</v>
      </c>
      <c r="K180" t="str">
        <f>IFERROR(VLOOKUP(LO[[#This Row],[Descrição]],TabCategoria[],3,FALSE),"")</f>
        <v>DESPESA</v>
      </c>
      <c r="L180" t="str">
        <f>IFERROR(VLOOKUP(LO[[#This Row],[Descrição]],TabCategoria[],4,FALSE),"")</f>
        <v>Empréstimo</v>
      </c>
      <c r="M180" t="str">
        <f>IFERROR(VLOOKUP(LO[[#This Row],[Descrição]],TabCategoria[],5,FALSE),"")</f>
        <v>Empréstimo Pessoal - Banco</v>
      </c>
      <c r="N180">
        <f>SUMIFS(TabCategoria[Meta Mês],TabCategoria[Categoria],LO[[#This Row],[CATEGORIA]])</f>
        <v>0</v>
      </c>
      <c r="O180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0" t="str">
        <f>IFERROR(INDEX(TabInst[TIPO],MATCH(LO[[#This Row],[INSTITUIÇÃO]],TabInst[DESCRIÇÃO],0)),"")</f>
        <v/>
      </c>
      <c r="R180" t="str">
        <f>IFERROR(INDEX(TabInst[INSTITUIÇÃO],MATCH(LO[[#This Row],[INSTITUIÇÃO]],TabInst[DESCRIÇÃO],0)),"")</f>
        <v/>
      </c>
      <c r="S180" t="str">
        <f>PROPER(TEXT(LO[[#This Row],[DT Venc]],"MMM"))</f>
        <v>Apr</v>
      </c>
      <c r="T180">
        <f>YEAR(LO[[#This Row],[DT Venc]])</f>
        <v>2027</v>
      </c>
      <c r="U180" t="str">
        <f>IFERROR(VLOOKUP(LO[[#This Row],[CATEGORIA]],TabCategoria[],2,FALSE),"")</f>
        <v/>
      </c>
      <c r="V180" t="str">
        <f>IF(LO[[#This Row],[CONTA/CARTAO]]="Cartão","Cartão",IF(LO[[#This Row],[CATEGORIA]]="Pagamento de Cartão","Fatura",""))</f>
        <v/>
      </c>
      <c r="W180">
        <f>IF(LO[[#This Row],[Tipo]]="Receita",LO[[#This Row],[Valor]],IF(LO[[#This Row],[Tipo]]="Despesa",-LO[[#This Row],[Valor]],0))</f>
        <v>-391</v>
      </c>
    </row>
    <row r="181" spans="2:23" hidden="1" x14ac:dyDescent="0.3">
      <c r="B181" s="11">
        <v>46125</v>
      </c>
      <c r="C181" s="11">
        <v>46517</v>
      </c>
      <c r="D181" t="s">
        <v>326</v>
      </c>
      <c r="E181" s="28">
        <v>391</v>
      </c>
      <c r="F181" t="s">
        <v>353</v>
      </c>
      <c r="G181" t="s">
        <v>354</v>
      </c>
      <c r="H181" t="s">
        <v>313</v>
      </c>
      <c r="I181" t="s">
        <v>352</v>
      </c>
      <c r="J181" t="str">
        <f>IFERROR(VLOOKUP(LO[[#This Row],[Descrição]],TabCategoria[],2,FALSE),"")</f>
        <v>NÃO OPERACIONAL</v>
      </c>
      <c r="K181" t="str">
        <f>IFERROR(VLOOKUP(LO[[#This Row],[Descrição]],TabCategoria[],3,FALSE),"")</f>
        <v>DESPESA</v>
      </c>
      <c r="L181" t="str">
        <f>IFERROR(VLOOKUP(LO[[#This Row],[Descrição]],TabCategoria[],4,FALSE),"")</f>
        <v>Empréstimo</v>
      </c>
      <c r="M181" t="str">
        <f>IFERROR(VLOOKUP(LO[[#This Row],[Descrição]],TabCategoria[],5,FALSE),"")</f>
        <v>Empréstimo Pessoal - Banco</v>
      </c>
      <c r="N181">
        <f>SUMIFS(TabCategoria[Meta Mês],TabCategoria[Categoria],LO[[#This Row],[CATEGORIA]])</f>
        <v>0</v>
      </c>
      <c r="O181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1" t="str">
        <f>IFERROR(INDEX(TabInst[TIPO],MATCH(LO[[#This Row],[INSTITUIÇÃO]],TabInst[DESCRIÇÃO],0)),"")</f>
        <v/>
      </c>
      <c r="R181" t="str">
        <f>IFERROR(INDEX(TabInst[INSTITUIÇÃO],MATCH(LO[[#This Row],[INSTITUIÇÃO]],TabInst[DESCRIÇÃO],0)),"")</f>
        <v/>
      </c>
      <c r="S181" t="str">
        <f>PROPER(TEXT(LO[[#This Row],[DT Venc]],"MMM"))</f>
        <v>May</v>
      </c>
      <c r="T181">
        <f>YEAR(LO[[#This Row],[DT Venc]])</f>
        <v>2027</v>
      </c>
      <c r="U181" t="str">
        <f>IFERROR(VLOOKUP(LO[[#This Row],[CATEGORIA]],TabCategoria[],2,FALSE),"")</f>
        <v/>
      </c>
      <c r="V181" t="str">
        <f>IF(LO[[#This Row],[CONTA/CARTAO]]="Cartão","Cartão",IF(LO[[#This Row],[CATEGORIA]]="Pagamento de Cartão","Fatura",""))</f>
        <v/>
      </c>
      <c r="W181">
        <f>IF(LO[[#This Row],[Tipo]]="Receita",LO[[#This Row],[Valor]],IF(LO[[#This Row],[Tipo]]="Despesa",-LO[[#This Row],[Valor]],0))</f>
        <v>-391</v>
      </c>
    </row>
    <row r="182" spans="2:23" hidden="1" x14ac:dyDescent="0.3">
      <c r="B182" s="11">
        <v>46125</v>
      </c>
      <c r="C182" s="11">
        <v>46548</v>
      </c>
      <c r="D182" t="s">
        <v>326</v>
      </c>
      <c r="E182" s="28">
        <v>391</v>
      </c>
      <c r="F182" t="s">
        <v>353</v>
      </c>
      <c r="G182" t="s">
        <v>354</v>
      </c>
      <c r="H182" t="s">
        <v>313</v>
      </c>
      <c r="I182" t="s">
        <v>352</v>
      </c>
      <c r="J182" t="str">
        <f>IFERROR(VLOOKUP(LO[[#This Row],[Descrição]],TabCategoria[],2,FALSE),"")</f>
        <v>NÃO OPERACIONAL</v>
      </c>
      <c r="K182" t="str">
        <f>IFERROR(VLOOKUP(LO[[#This Row],[Descrição]],TabCategoria[],3,FALSE),"")</f>
        <v>DESPESA</v>
      </c>
      <c r="L182" t="str">
        <f>IFERROR(VLOOKUP(LO[[#This Row],[Descrição]],TabCategoria[],4,FALSE),"")</f>
        <v>Empréstimo</v>
      </c>
      <c r="M182" t="str">
        <f>IFERROR(VLOOKUP(LO[[#This Row],[Descrição]],TabCategoria[],5,FALSE),"")</f>
        <v>Empréstimo Pessoal - Banco</v>
      </c>
      <c r="N182">
        <f>SUMIFS(TabCategoria[Meta Mês],TabCategoria[Categoria],LO[[#This Row],[CATEGORIA]])</f>
        <v>0</v>
      </c>
      <c r="O182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2" t="str">
        <f>IFERROR(INDEX(TabInst[TIPO],MATCH(LO[[#This Row],[INSTITUIÇÃO]],TabInst[DESCRIÇÃO],0)),"")</f>
        <v/>
      </c>
      <c r="R182" t="str">
        <f>IFERROR(INDEX(TabInst[INSTITUIÇÃO],MATCH(LO[[#This Row],[INSTITUIÇÃO]],TabInst[DESCRIÇÃO],0)),"")</f>
        <v/>
      </c>
      <c r="S182" t="str">
        <f>PROPER(TEXT(LO[[#This Row],[DT Venc]],"MMM"))</f>
        <v>Jun</v>
      </c>
      <c r="T182">
        <f>YEAR(LO[[#This Row],[DT Venc]])</f>
        <v>2027</v>
      </c>
      <c r="U182" t="str">
        <f>IFERROR(VLOOKUP(LO[[#This Row],[CATEGORIA]],TabCategoria[],2,FALSE),"")</f>
        <v/>
      </c>
      <c r="V182" t="str">
        <f>IF(LO[[#This Row],[CONTA/CARTAO]]="Cartão","Cartão",IF(LO[[#This Row],[CATEGORIA]]="Pagamento de Cartão","Fatura",""))</f>
        <v/>
      </c>
      <c r="W182">
        <f>IF(LO[[#This Row],[Tipo]]="Receita",LO[[#This Row],[Valor]],IF(LO[[#This Row],[Tipo]]="Despesa",-LO[[#This Row],[Valor]],0))</f>
        <v>-391</v>
      </c>
    </row>
    <row r="183" spans="2:23" hidden="1" x14ac:dyDescent="0.3">
      <c r="B183" s="11">
        <v>46125</v>
      </c>
      <c r="C183" s="11">
        <v>46578</v>
      </c>
      <c r="D183" t="s">
        <v>326</v>
      </c>
      <c r="E183" s="28">
        <v>391</v>
      </c>
      <c r="F183" t="s">
        <v>353</v>
      </c>
      <c r="G183" t="s">
        <v>354</v>
      </c>
      <c r="H183" t="s">
        <v>313</v>
      </c>
      <c r="I183" t="s">
        <v>352</v>
      </c>
      <c r="J183" t="str">
        <f>IFERROR(VLOOKUP(LO[[#This Row],[Descrição]],TabCategoria[],2,FALSE),"")</f>
        <v>NÃO OPERACIONAL</v>
      </c>
      <c r="K183" t="str">
        <f>IFERROR(VLOOKUP(LO[[#This Row],[Descrição]],TabCategoria[],3,FALSE),"")</f>
        <v>DESPESA</v>
      </c>
      <c r="L183" t="str">
        <f>IFERROR(VLOOKUP(LO[[#This Row],[Descrição]],TabCategoria[],4,FALSE),"")</f>
        <v>Empréstimo</v>
      </c>
      <c r="M183" t="str">
        <f>IFERROR(VLOOKUP(LO[[#This Row],[Descrição]],TabCategoria[],5,FALSE),"")</f>
        <v>Empréstimo Pessoal - Banco</v>
      </c>
      <c r="N183">
        <f>SUMIFS(TabCategoria[Meta Mês],TabCategoria[Categoria],LO[[#This Row],[CATEGORIA]])</f>
        <v>0</v>
      </c>
      <c r="O183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3" t="str">
        <f>IFERROR(INDEX(TabInst[TIPO],MATCH(LO[[#This Row],[INSTITUIÇÃO]],TabInst[DESCRIÇÃO],0)),"")</f>
        <v/>
      </c>
      <c r="R183" t="str">
        <f>IFERROR(INDEX(TabInst[INSTITUIÇÃO],MATCH(LO[[#This Row],[INSTITUIÇÃO]],TabInst[DESCRIÇÃO],0)),"")</f>
        <v/>
      </c>
      <c r="S183" t="str">
        <f>PROPER(TEXT(LO[[#This Row],[DT Venc]],"MMM"))</f>
        <v>Jul</v>
      </c>
      <c r="T183">
        <f>YEAR(LO[[#This Row],[DT Venc]])</f>
        <v>2027</v>
      </c>
      <c r="U183" t="str">
        <f>IFERROR(VLOOKUP(LO[[#This Row],[CATEGORIA]],TabCategoria[],2,FALSE),"")</f>
        <v/>
      </c>
      <c r="V183" t="str">
        <f>IF(LO[[#This Row],[CONTA/CARTAO]]="Cartão","Cartão",IF(LO[[#This Row],[CATEGORIA]]="Pagamento de Cartão","Fatura",""))</f>
        <v/>
      </c>
      <c r="W183">
        <f>IF(LO[[#This Row],[Tipo]]="Receita",LO[[#This Row],[Valor]],IF(LO[[#This Row],[Tipo]]="Despesa",-LO[[#This Row],[Valor]],0))</f>
        <v>-391</v>
      </c>
    </row>
    <row r="184" spans="2:23" hidden="1" x14ac:dyDescent="0.3">
      <c r="B184" s="11">
        <v>46125</v>
      </c>
      <c r="C184" s="11">
        <v>46609</v>
      </c>
      <c r="D184" t="s">
        <v>326</v>
      </c>
      <c r="E184" s="28">
        <v>391</v>
      </c>
      <c r="F184" t="s">
        <v>353</v>
      </c>
      <c r="G184" t="s">
        <v>354</v>
      </c>
      <c r="H184" t="s">
        <v>313</v>
      </c>
      <c r="I184" t="s">
        <v>352</v>
      </c>
      <c r="J184" t="str">
        <f>IFERROR(VLOOKUP(LO[[#This Row],[Descrição]],TabCategoria[],2,FALSE),"")</f>
        <v>NÃO OPERACIONAL</v>
      </c>
      <c r="K184" t="str">
        <f>IFERROR(VLOOKUP(LO[[#This Row],[Descrição]],TabCategoria[],3,FALSE),"")</f>
        <v>DESPESA</v>
      </c>
      <c r="L184" t="str">
        <f>IFERROR(VLOOKUP(LO[[#This Row],[Descrição]],TabCategoria[],4,FALSE),"")</f>
        <v>Empréstimo</v>
      </c>
      <c r="M184" t="str">
        <f>IFERROR(VLOOKUP(LO[[#This Row],[Descrição]],TabCategoria[],5,FALSE),"")</f>
        <v>Empréstimo Pessoal - Banco</v>
      </c>
      <c r="N184">
        <f>SUMIFS(TabCategoria[Meta Mês],TabCategoria[Categoria],LO[[#This Row],[CATEGORIA]])</f>
        <v>0</v>
      </c>
      <c r="O184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4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4" t="str">
        <f>IFERROR(INDEX(TabInst[TIPO],MATCH(LO[[#This Row],[INSTITUIÇÃO]],TabInst[DESCRIÇÃO],0)),"")</f>
        <v/>
      </c>
      <c r="R184" t="str">
        <f>IFERROR(INDEX(TabInst[INSTITUIÇÃO],MATCH(LO[[#This Row],[INSTITUIÇÃO]],TabInst[DESCRIÇÃO],0)),"")</f>
        <v/>
      </c>
      <c r="S184" t="str">
        <f>PROPER(TEXT(LO[[#This Row],[DT Venc]],"MMM"))</f>
        <v>Aug</v>
      </c>
      <c r="T184">
        <f>YEAR(LO[[#This Row],[DT Venc]])</f>
        <v>2027</v>
      </c>
      <c r="U184" t="str">
        <f>IFERROR(VLOOKUP(LO[[#This Row],[CATEGORIA]],TabCategoria[],2,FALSE),"")</f>
        <v/>
      </c>
      <c r="V184" t="str">
        <f>IF(LO[[#This Row],[CONTA/CARTAO]]="Cartão","Cartão",IF(LO[[#This Row],[CATEGORIA]]="Pagamento de Cartão","Fatura",""))</f>
        <v/>
      </c>
      <c r="W184">
        <f>IF(LO[[#This Row],[Tipo]]="Receita",LO[[#This Row],[Valor]],IF(LO[[#This Row],[Tipo]]="Despesa",-LO[[#This Row],[Valor]],0))</f>
        <v>-391</v>
      </c>
    </row>
    <row r="185" spans="2:23" hidden="1" x14ac:dyDescent="0.3">
      <c r="B185" s="11">
        <v>46125</v>
      </c>
      <c r="C185" s="11">
        <v>46640</v>
      </c>
      <c r="D185" t="s">
        <v>326</v>
      </c>
      <c r="E185" s="28">
        <v>391</v>
      </c>
      <c r="F185" t="s">
        <v>353</v>
      </c>
      <c r="G185" t="s">
        <v>354</v>
      </c>
      <c r="H185" t="s">
        <v>313</v>
      </c>
      <c r="I185" t="s">
        <v>352</v>
      </c>
      <c r="J185" t="str">
        <f>IFERROR(VLOOKUP(LO[[#This Row],[Descrição]],TabCategoria[],2,FALSE),"")</f>
        <v>NÃO OPERACIONAL</v>
      </c>
      <c r="K185" t="str">
        <f>IFERROR(VLOOKUP(LO[[#This Row],[Descrição]],TabCategoria[],3,FALSE),"")</f>
        <v>DESPESA</v>
      </c>
      <c r="L185" t="str">
        <f>IFERROR(VLOOKUP(LO[[#This Row],[Descrição]],TabCategoria[],4,FALSE),"")</f>
        <v>Empréstimo</v>
      </c>
      <c r="M185" t="str">
        <f>IFERROR(VLOOKUP(LO[[#This Row],[Descrição]],TabCategoria[],5,FALSE),"")</f>
        <v>Empréstimo Pessoal - Banco</v>
      </c>
      <c r="N185">
        <f>SUMIFS(TabCategoria[Meta Mês],TabCategoria[Categoria],LO[[#This Row],[CATEGORIA]])</f>
        <v>0</v>
      </c>
      <c r="O185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5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5" t="str">
        <f>IFERROR(INDEX(TabInst[TIPO],MATCH(LO[[#This Row],[INSTITUIÇÃO]],TabInst[DESCRIÇÃO],0)),"")</f>
        <v/>
      </c>
      <c r="R185" t="str">
        <f>IFERROR(INDEX(TabInst[INSTITUIÇÃO],MATCH(LO[[#This Row],[INSTITUIÇÃO]],TabInst[DESCRIÇÃO],0)),"")</f>
        <v/>
      </c>
      <c r="S185" t="str">
        <f>PROPER(TEXT(LO[[#This Row],[DT Venc]],"MMM"))</f>
        <v>Sep</v>
      </c>
      <c r="T185">
        <f>YEAR(LO[[#This Row],[DT Venc]])</f>
        <v>2027</v>
      </c>
      <c r="U185" t="str">
        <f>IFERROR(VLOOKUP(LO[[#This Row],[CATEGORIA]],TabCategoria[],2,FALSE),"")</f>
        <v/>
      </c>
      <c r="V185" t="str">
        <f>IF(LO[[#This Row],[CONTA/CARTAO]]="Cartão","Cartão",IF(LO[[#This Row],[CATEGORIA]]="Pagamento de Cartão","Fatura",""))</f>
        <v/>
      </c>
      <c r="W185">
        <f>IF(LO[[#This Row],[Tipo]]="Receita",LO[[#This Row],[Valor]],IF(LO[[#This Row],[Tipo]]="Despesa",-LO[[#This Row],[Valor]],0))</f>
        <v>-391</v>
      </c>
    </row>
    <row r="186" spans="2:23" hidden="1" x14ac:dyDescent="0.3">
      <c r="B186" s="11">
        <v>46125</v>
      </c>
      <c r="C186" s="11">
        <v>46670</v>
      </c>
      <c r="D186" t="s">
        <v>326</v>
      </c>
      <c r="E186" s="28">
        <v>391</v>
      </c>
      <c r="F186" t="s">
        <v>353</v>
      </c>
      <c r="G186" t="s">
        <v>354</v>
      </c>
      <c r="H186" t="s">
        <v>313</v>
      </c>
      <c r="I186" t="s">
        <v>352</v>
      </c>
      <c r="J186" t="str">
        <f>IFERROR(VLOOKUP(LO[[#This Row],[Descrição]],TabCategoria[],2,FALSE),"")</f>
        <v>NÃO OPERACIONAL</v>
      </c>
      <c r="K186" t="str">
        <f>IFERROR(VLOOKUP(LO[[#This Row],[Descrição]],TabCategoria[],3,FALSE),"")</f>
        <v>DESPESA</v>
      </c>
      <c r="L186" t="str">
        <f>IFERROR(VLOOKUP(LO[[#This Row],[Descrição]],TabCategoria[],4,FALSE),"")</f>
        <v>Empréstimo</v>
      </c>
      <c r="M186" t="str">
        <f>IFERROR(VLOOKUP(LO[[#This Row],[Descrição]],TabCategoria[],5,FALSE),"")</f>
        <v>Empréstimo Pessoal - Banco</v>
      </c>
      <c r="N186">
        <f>SUMIFS(TabCategoria[Meta Mês],TabCategoria[Categoria],LO[[#This Row],[CATEGORIA]])</f>
        <v>0</v>
      </c>
      <c r="O186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6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6" t="str">
        <f>IFERROR(INDEX(TabInst[TIPO],MATCH(LO[[#This Row],[INSTITUIÇÃO]],TabInst[DESCRIÇÃO],0)),"")</f>
        <v/>
      </c>
      <c r="R186" t="str">
        <f>IFERROR(INDEX(TabInst[INSTITUIÇÃO],MATCH(LO[[#This Row],[INSTITUIÇÃO]],TabInst[DESCRIÇÃO],0)),"")</f>
        <v/>
      </c>
      <c r="S186" t="str">
        <f>PROPER(TEXT(LO[[#This Row],[DT Venc]],"MMM"))</f>
        <v>Oct</v>
      </c>
      <c r="T186">
        <f>YEAR(LO[[#This Row],[DT Venc]])</f>
        <v>2027</v>
      </c>
      <c r="U186" t="str">
        <f>IFERROR(VLOOKUP(LO[[#This Row],[CATEGORIA]],TabCategoria[],2,FALSE),"")</f>
        <v/>
      </c>
      <c r="V186" t="str">
        <f>IF(LO[[#This Row],[CONTA/CARTAO]]="Cartão","Cartão",IF(LO[[#This Row],[CATEGORIA]]="Pagamento de Cartão","Fatura",""))</f>
        <v/>
      </c>
      <c r="W186">
        <f>IF(LO[[#This Row],[Tipo]]="Receita",LO[[#This Row],[Valor]],IF(LO[[#This Row],[Tipo]]="Despesa",-LO[[#This Row],[Valor]],0))</f>
        <v>-391</v>
      </c>
    </row>
    <row r="187" spans="2:23" hidden="1" x14ac:dyDescent="0.3">
      <c r="B187" s="11">
        <v>46125</v>
      </c>
      <c r="C187" s="11">
        <v>46701</v>
      </c>
      <c r="D187" t="s">
        <v>326</v>
      </c>
      <c r="E187" s="28">
        <v>391</v>
      </c>
      <c r="F187" t="s">
        <v>353</v>
      </c>
      <c r="G187" t="s">
        <v>354</v>
      </c>
      <c r="H187" t="s">
        <v>313</v>
      </c>
      <c r="I187" t="s">
        <v>352</v>
      </c>
      <c r="J187" t="str">
        <f>IFERROR(VLOOKUP(LO[[#This Row],[Descrição]],TabCategoria[],2,FALSE),"")</f>
        <v>NÃO OPERACIONAL</v>
      </c>
      <c r="K187" t="str">
        <f>IFERROR(VLOOKUP(LO[[#This Row],[Descrição]],TabCategoria[],3,FALSE),"")</f>
        <v>DESPESA</v>
      </c>
      <c r="L187" t="str">
        <f>IFERROR(VLOOKUP(LO[[#This Row],[Descrição]],TabCategoria[],4,FALSE),"")</f>
        <v>Empréstimo</v>
      </c>
      <c r="M187" t="str">
        <f>IFERROR(VLOOKUP(LO[[#This Row],[Descrição]],TabCategoria[],5,FALSE),"")</f>
        <v>Empréstimo Pessoal - Banco</v>
      </c>
      <c r="N187">
        <f>SUMIFS(TabCategoria[Meta Mês],TabCategoria[Categoria],LO[[#This Row],[CATEGORIA]])</f>
        <v>0</v>
      </c>
      <c r="O187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7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7" t="str">
        <f>IFERROR(INDEX(TabInst[TIPO],MATCH(LO[[#This Row],[INSTITUIÇÃO]],TabInst[DESCRIÇÃO],0)),"")</f>
        <v/>
      </c>
      <c r="R187" t="str">
        <f>IFERROR(INDEX(TabInst[INSTITUIÇÃO],MATCH(LO[[#This Row],[INSTITUIÇÃO]],TabInst[DESCRIÇÃO],0)),"")</f>
        <v/>
      </c>
      <c r="S187" t="str">
        <f>PROPER(TEXT(LO[[#This Row],[DT Venc]],"MMM"))</f>
        <v>Nov</v>
      </c>
      <c r="T187">
        <f>YEAR(LO[[#This Row],[DT Venc]])</f>
        <v>2027</v>
      </c>
      <c r="U187" t="str">
        <f>IFERROR(VLOOKUP(LO[[#This Row],[CATEGORIA]],TabCategoria[],2,FALSE),"")</f>
        <v/>
      </c>
      <c r="V187" t="str">
        <f>IF(LO[[#This Row],[CONTA/CARTAO]]="Cartão","Cartão",IF(LO[[#This Row],[CATEGORIA]]="Pagamento de Cartão","Fatura",""))</f>
        <v/>
      </c>
      <c r="W187">
        <f>IF(LO[[#This Row],[Tipo]]="Receita",LO[[#This Row],[Valor]],IF(LO[[#This Row],[Tipo]]="Despesa",-LO[[#This Row],[Valor]],0))</f>
        <v>-391</v>
      </c>
    </row>
    <row r="188" spans="2:23" hidden="1" x14ac:dyDescent="0.3">
      <c r="B188" s="11">
        <v>46125</v>
      </c>
      <c r="C188" s="11">
        <v>46731</v>
      </c>
      <c r="D188" t="s">
        <v>326</v>
      </c>
      <c r="E188" s="28">
        <v>391</v>
      </c>
      <c r="F188" t="s">
        <v>353</v>
      </c>
      <c r="G188" t="s">
        <v>354</v>
      </c>
      <c r="H188" t="s">
        <v>313</v>
      </c>
      <c r="I188" t="s">
        <v>352</v>
      </c>
      <c r="J188" t="str">
        <f>IFERROR(VLOOKUP(LO[[#This Row],[Descrição]],TabCategoria[],2,FALSE),"")</f>
        <v>NÃO OPERACIONAL</v>
      </c>
      <c r="K188" t="str">
        <f>IFERROR(VLOOKUP(LO[[#This Row],[Descrição]],TabCategoria[],3,FALSE),"")</f>
        <v>DESPESA</v>
      </c>
      <c r="L188" t="str">
        <f>IFERROR(VLOOKUP(LO[[#This Row],[Descrição]],TabCategoria[],4,FALSE),"")</f>
        <v>Empréstimo</v>
      </c>
      <c r="M188" t="str">
        <f>IFERROR(VLOOKUP(LO[[#This Row],[Descrição]],TabCategoria[],5,FALSE),"")</f>
        <v>Empréstimo Pessoal - Banco</v>
      </c>
      <c r="N188">
        <f>SUMIFS(TabCategoria[Meta Mês],TabCategoria[Categoria],LO[[#This Row],[CATEGORIA]])</f>
        <v>0</v>
      </c>
      <c r="O188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8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8" t="str">
        <f>IFERROR(INDEX(TabInst[TIPO],MATCH(LO[[#This Row],[INSTITUIÇÃO]],TabInst[DESCRIÇÃO],0)),"")</f>
        <v/>
      </c>
      <c r="R188" t="str">
        <f>IFERROR(INDEX(TabInst[INSTITUIÇÃO],MATCH(LO[[#This Row],[INSTITUIÇÃO]],TabInst[DESCRIÇÃO],0)),"")</f>
        <v/>
      </c>
      <c r="S188" t="str">
        <f>PROPER(TEXT(LO[[#This Row],[DT Venc]],"MMM"))</f>
        <v>Dec</v>
      </c>
      <c r="T188">
        <f>YEAR(LO[[#This Row],[DT Venc]])</f>
        <v>2027</v>
      </c>
      <c r="U188" t="str">
        <f>IFERROR(VLOOKUP(LO[[#This Row],[CATEGORIA]],TabCategoria[],2,FALSE),"")</f>
        <v/>
      </c>
      <c r="V188" t="str">
        <f>IF(LO[[#This Row],[CONTA/CARTAO]]="Cartão","Cartão",IF(LO[[#This Row],[CATEGORIA]]="Pagamento de Cartão","Fatura",""))</f>
        <v/>
      </c>
      <c r="W188">
        <f>IF(LO[[#This Row],[Tipo]]="Receita",LO[[#This Row],[Valor]],IF(LO[[#This Row],[Tipo]]="Despesa",-LO[[#This Row],[Valor]],0))</f>
        <v>-391</v>
      </c>
    </row>
    <row r="189" spans="2:23" hidden="1" x14ac:dyDescent="0.3">
      <c r="B189" s="11">
        <v>46125</v>
      </c>
      <c r="C189" s="11">
        <v>46762</v>
      </c>
      <c r="D189" t="s">
        <v>326</v>
      </c>
      <c r="E189" s="28">
        <v>391</v>
      </c>
      <c r="F189" t="s">
        <v>353</v>
      </c>
      <c r="G189" t="s">
        <v>354</v>
      </c>
      <c r="H189" t="s">
        <v>313</v>
      </c>
      <c r="I189" t="s">
        <v>352</v>
      </c>
      <c r="J189" t="str">
        <f>IFERROR(VLOOKUP(LO[[#This Row],[Descrição]],TabCategoria[],2,FALSE),"")</f>
        <v>NÃO OPERACIONAL</v>
      </c>
      <c r="K189" t="str">
        <f>IFERROR(VLOOKUP(LO[[#This Row],[Descrição]],TabCategoria[],3,FALSE),"")</f>
        <v>DESPESA</v>
      </c>
      <c r="L189" t="str">
        <f>IFERROR(VLOOKUP(LO[[#This Row],[Descrição]],TabCategoria[],4,FALSE),"")</f>
        <v>Empréstimo</v>
      </c>
      <c r="M189" t="str">
        <f>IFERROR(VLOOKUP(LO[[#This Row],[Descrição]],TabCategoria[],5,FALSE),"")</f>
        <v>Empréstimo Pessoal - Banco</v>
      </c>
      <c r="N189">
        <f>SUMIFS(TabCategoria[Meta Mês],TabCategoria[Categoria],LO[[#This Row],[CATEGORIA]])</f>
        <v>0</v>
      </c>
      <c r="O189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89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89" t="str">
        <f>IFERROR(INDEX(TabInst[TIPO],MATCH(LO[[#This Row],[INSTITUIÇÃO]],TabInst[DESCRIÇÃO],0)),"")</f>
        <v/>
      </c>
      <c r="R189" t="str">
        <f>IFERROR(INDEX(TabInst[INSTITUIÇÃO],MATCH(LO[[#This Row],[INSTITUIÇÃO]],TabInst[DESCRIÇÃO],0)),"")</f>
        <v/>
      </c>
      <c r="S189" t="str">
        <f>PROPER(TEXT(LO[[#This Row],[DT Venc]],"MMM"))</f>
        <v>Jan</v>
      </c>
      <c r="T189">
        <f>YEAR(LO[[#This Row],[DT Venc]])</f>
        <v>2028</v>
      </c>
      <c r="U189" t="str">
        <f>IFERROR(VLOOKUP(LO[[#This Row],[CATEGORIA]],TabCategoria[],2,FALSE),"")</f>
        <v/>
      </c>
      <c r="V189" t="str">
        <f>IF(LO[[#This Row],[CONTA/CARTAO]]="Cartão","Cartão",IF(LO[[#This Row],[CATEGORIA]]="Pagamento de Cartão","Fatura",""))</f>
        <v/>
      </c>
      <c r="W189">
        <f>IF(LO[[#This Row],[Tipo]]="Receita",LO[[#This Row],[Valor]],IF(LO[[#This Row],[Tipo]]="Despesa",-LO[[#This Row],[Valor]],0))</f>
        <v>-391</v>
      </c>
    </row>
    <row r="190" spans="2:23" hidden="1" x14ac:dyDescent="0.3">
      <c r="B190" s="11">
        <v>46125</v>
      </c>
      <c r="C190" s="11">
        <v>46793</v>
      </c>
      <c r="D190" t="s">
        <v>326</v>
      </c>
      <c r="E190" s="28">
        <v>391</v>
      </c>
      <c r="F190" t="s">
        <v>353</v>
      </c>
      <c r="G190" t="s">
        <v>354</v>
      </c>
      <c r="H190" t="s">
        <v>313</v>
      </c>
      <c r="I190" t="s">
        <v>352</v>
      </c>
      <c r="J190" t="str">
        <f>IFERROR(VLOOKUP(LO[[#This Row],[Descrição]],TabCategoria[],2,FALSE),"")</f>
        <v>NÃO OPERACIONAL</v>
      </c>
      <c r="K190" t="str">
        <f>IFERROR(VLOOKUP(LO[[#This Row],[Descrição]],TabCategoria[],3,FALSE),"")</f>
        <v>DESPESA</v>
      </c>
      <c r="L190" t="str">
        <f>IFERROR(VLOOKUP(LO[[#This Row],[Descrição]],TabCategoria[],4,FALSE),"")</f>
        <v>Empréstimo</v>
      </c>
      <c r="M190" t="str">
        <f>IFERROR(VLOOKUP(LO[[#This Row],[Descrição]],TabCategoria[],5,FALSE),"")</f>
        <v>Empréstimo Pessoal - Banco</v>
      </c>
      <c r="N190">
        <f>SUMIFS(TabCategoria[Meta Mês],TabCategoria[Categoria],LO[[#This Row],[CATEGORIA]])</f>
        <v>0</v>
      </c>
      <c r="O190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90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0" t="str">
        <f>IFERROR(INDEX(TabInst[TIPO],MATCH(LO[[#This Row],[INSTITUIÇÃO]],TabInst[DESCRIÇÃO],0)),"")</f>
        <v/>
      </c>
      <c r="R190" t="str">
        <f>IFERROR(INDEX(TabInst[INSTITUIÇÃO],MATCH(LO[[#This Row],[INSTITUIÇÃO]],TabInst[DESCRIÇÃO],0)),"")</f>
        <v/>
      </c>
      <c r="S190" t="str">
        <f>PROPER(TEXT(LO[[#This Row],[DT Venc]],"MMM"))</f>
        <v>Feb</v>
      </c>
      <c r="T190">
        <f>YEAR(LO[[#This Row],[DT Venc]])</f>
        <v>2028</v>
      </c>
      <c r="U190" t="str">
        <f>IFERROR(VLOOKUP(LO[[#This Row],[CATEGORIA]],TabCategoria[],2,FALSE),"")</f>
        <v/>
      </c>
      <c r="V190" t="str">
        <f>IF(LO[[#This Row],[CONTA/CARTAO]]="Cartão","Cartão",IF(LO[[#This Row],[CATEGORIA]]="Pagamento de Cartão","Fatura",""))</f>
        <v/>
      </c>
      <c r="W190">
        <f>IF(LO[[#This Row],[Tipo]]="Receita",LO[[#This Row],[Valor]],IF(LO[[#This Row],[Tipo]]="Despesa",-LO[[#This Row],[Valor]],0))</f>
        <v>-391</v>
      </c>
    </row>
    <row r="191" spans="2:23" hidden="1" x14ac:dyDescent="0.3">
      <c r="B191" s="11">
        <v>46125</v>
      </c>
      <c r="C191" s="11">
        <v>46822</v>
      </c>
      <c r="D191" t="s">
        <v>326</v>
      </c>
      <c r="E191" s="28">
        <v>391</v>
      </c>
      <c r="F191" t="s">
        <v>353</v>
      </c>
      <c r="G191" t="s">
        <v>354</v>
      </c>
      <c r="H191" t="s">
        <v>313</v>
      </c>
      <c r="I191" t="s">
        <v>352</v>
      </c>
      <c r="J191" t="str">
        <f>IFERROR(VLOOKUP(LO[[#This Row],[Descrição]],TabCategoria[],2,FALSE),"")</f>
        <v>NÃO OPERACIONAL</v>
      </c>
      <c r="K191" t="str">
        <f>IFERROR(VLOOKUP(LO[[#This Row],[Descrição]],TabCategoria[],3,FALSE),"")</f>
        <v>DESPESA</v>
      </c>
      <c r="L191" t="str">
        <f>IFERROR(VLOOKUP(LO[[#This Row],[Descrição]],TabCategoria[],4,FALSE),"")</f>
        <v>Empréstimo</v>
      </c>
      <c r="M191" t="str">
        <f>IFERROR(VLOOKUP(LO[[#This Row],[Descrição]],TabCategoria[],5,FALSE),"")</f>
        <v>Empréstimo Pessoal - Banco</v>
      </c>
      <c r="N191">
        <f>SUMIFS(TabCategoria[Meta Mês],TabCategoria[Categoria],LO[[#This Row],[CATEGORIA]])</f>
        <v>0</v>
      </c>
      <c r="O191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91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1" t="str">
        <f>IFERROR(INDEX(TabInst[TIPO],MATCH(LO[[#This Row],[INSTITUIÇÃO]],TabInst[DESCRIÇÃO],0)),"")</f>
        <v/>
      </c>
      <c r="R191" t="str">
        <f>IFERROR(INDEX(TabInst[INSTITUIÇÃO],MATCH(LO[[#This Row],[INSTITUIÇÃO]],TabInst[DESCRIÇÃO],0)),"")</f>
        <v/>
      </c>
      <c r="S191" t="str">
        <f>PROPER(TEXT(LO[[#This Row],[DT Venc]],"MMM"))</f>
        <v>Mar</v>
      </c>
      <c r="T191">
        <f>YEAR(LO[[#This Row],[DT Venc]])</f>
        <v>2028</v>
      </c>
      <c r="U191" t="str">
        <f>IFERROR(VLOOKUP(LO[[#This Row],[CATEGORIA]],TabCategoria[],2,FALSE),"")</f>
        <v/>
      </c>
      <c r="V191" t="str">
        <f>IF(LO[[#This Row],[CONTA/CARTAO]]="Cartão","Cartão",IF(LO[[#This Row],[CATEGORIA]]="Pagamento de Cartão","Fatura",""))</f>
        <v/>
      </c>
      <c r="W191">
        <f>IF(LO[[#This Row],[Tipo]]="Receita",LO[[#This Row],[Valor]],IF(LO[[#This Row],[Tipo]]="Despesa",-LO[[#This Row],[Valor]],0))</f>
        <v>-391</v>
      </c>
    </row>
    <row r="192" spans="2:23" hidden="1" x14ac:dyDescent="0.3">
      <c r="B192" s="11">
        <v>46125</v>
      </c>
      <c r="C192" s="11">
        <v>46853</v>
      </c>
      <c r="D192" t="s">
        <v>326</v>
      </c>
      <c r="E192" s="28">
        <v>391</v>
      </c>
      <c r="F192" t="s">
        <v>353</v>
      </c>
      <c r="G192" t="s">
        <v>354</v>
      </c>
      <c r="H192" t="s">
        <v>313</v>
      </c>
      <c r="I192" t="s">
        <v>352</v>
      </c>
      <c r="J192" t="str">
        <f>IFERROR(VLOOKUP(LO[[#This Row],[Descrição]],TabCategoria[],2,FALSE),"")</f>
        <v>NÃO OPERACIONAL</v>
      </c>
      <c r="K192" t="str">
        <f>IFERROR(VLOOKUP(LO[[#This Row],[Descrição]],TabCategoria[],3,FALSE),"")</f>
        <v>DESPESA</v>
      </c>
      <c r="L192" t="str">
        <f>IFERROR(VLOOKUP(LO[[#This Row],[Descrição]],TabCategoria[],4,FALSE),"")</f>
        <v>Empréstimo</v>
      </c>
      <c r="M192" t="str">
        <f>IFERROR(VLOOKUP(LO[[#This Row],[Descrição]],TabCategoria[],5,FALSE),"")</f>
        <v>Empréstimo Pessoal - Banco</v>
      </c>
      <c r="N192">
        <f>SUMIFS(TabCategoria[Meta Mês],TabCategoria[Categoria],LO[[#This Row],[CATEGORIA]])</f>
        <v>0</v>
      </c>
      <c r="O192" s="68">
        <f>SUMIFS(LO[Valor],LO[CATEGORIA],LO[[#This Row],[CATEGORIA]],LO[ANO],LO[[#This Row],[ANO]],LO[MÊS],LO[[#This Row],[MÊS]])
/COUNTIFS(LO[CATEGORIA],LO[[#This Row],[CATEGORIA]],LO[ANO],LO[[#This Row],[ANO]],LO[MÊS],LO[[#This Row],[MÊS]])</f>
        <v>391</v>
      </c>
      <c r="P19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2" t="str">
        <f>IFERROR(INDEX(TabInst[TIPO],MATCH(LO[[#This Row],[INSTITUIÇÃO]],TabInst[DESCRIÇÃO],0)),"")</f>
        <v/>
      </c>
      <c r="R192" t="str">
        <f>IFERROR(INDEX(TabInst[INSTITUIÇÃO],MATCH(LO[[#This Row],[INSTITUIÇÃO]],TabInst[DESCRIÇÃO],0)),"")</f>
        <v/>
      </c>
      <c r="S192" t="str">
        <f>PROPER(TEXT(LO[[#This Row],[DT Venc]],"MMM"))</f>
        <v>Apr</v>
      </c>
      <c r="T192">
        <f>YEAR(LO[[#This Row],[DT Venc]])</f>
        <v>2028</v>
      </c>
      <c r="U192" t="str">
        <f>IFERROR(VLOOKUP(LO[[#This Row],[CATEGORIA]],TabCategoria[],2,FALSE),"")</f>
        <v/>
      </c>
      <c r="V192" t="str">
        <f>IF(LO[[#This Row],[CONTA/CARTAO]]="Cartão","Cartão",IF(LO[[#This Row],[CATEGORIA]]="Pagamento de Cartão","Fatura",""))</f>
        <v/>
      </c>
      <c r="W192">
        <f>IF(LO[[#This Row],[Tipo]]="Receita",LO[[#This Row],[Valor]],IF(LO[[#This Row],[Tipo]]="Despesa",-LO[[#This Row],[Valor]],0))</f>
        <v>-391</v>
      </c>
    </row>
    <row r="193" spans="2:23" hidden="1" x14ac:dyDescent="0.3">
      <c r="B193" s="11">
        <v>46125</v>
      </c>
      <c r="C193" s="11">
        <v>46147</v>
      </c>
      <c r="D193" t="s">
        <v>326</v>
      </c>
      <c r="E193" s="28">
        <v>1000</v>
      </c>
      <c r="F193" t="s">
        <v>353</v>
      </c>
      <c r="G193" t="s">
        <v>354</v>
      </c>
      <c r="H193" t="s">
        <v>313</v>
      </c>
      <c r="I193" t="s">
        <v>352</v>
      </c>
      <c r="J193" t="str">
        <f>IFERROR(VLOOKUP(LO[[#This Row],[Descrição]],TabCategoria[],2,FALSE),"")</f>
        <v>NÃO OPERACIONAL</v>
      </c>
      <c r="K193" t="str">
        <f>IFERROR(VLOOKUP(LO[[#This Row],[Descrição]],TabCategoria[],3,FALSE),"")</f>
        <v>DESPESA</v>
      </c>
      <c r="L193" t="str">
        <f>IFERROR(VLOOKUP(LO[[#This Row],[Descrição]],TabCategoria[],4,FALSE),"")</f>
        <v>Empréstimo</v>
      </c>
      <c r="M193" t="str">
        <f>IFERROR(VLOOKUP(LO[[#This Row],[Descrição]],TabCategoria[],5,FALSE),"")</f>
        <v>Empréstimo Pessoal - Banco</v>
      </c>
      <c r="N193">
        <f>SUMIFS(TabCategoria[Meta Mês],TabCategoria[Categoria],LO[[#This Row],[CATEGORIA]])</f>
        <v>0</v>
      </c>
      <c r="O193" s="68">
        <f>SUMIFS(LO[Valor],LO[CATEGORIA],LO[[#This Row],[CATEGORIA]],LO[ANO],LO[[#This Row],[ANO]],LO[MÊS],LO[[#This Row],[MÊS]])
/COUNTIFS(LO[CATEGORIA],LO[[#This Row],[CATEGORIA]],LO[ANO],LO[[#This Row],[ANO]],LO[MÊS],LO[[#This Row],[MÊS]])</f>
        <v>395.536</v>
      </c>
      <c r="P193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3" t="str">
        <f>IFERROR(INDEX(TabInst[TIPO],MATCH(LO[[#This Row],[INSTITUIÇÃO]],TabInst[DESCRIÇÃO],0)),"")</f>
        <v/>
      </c>
      <c r="R193" t="str">
        <f>IFERROR(INDEX(TabInst[INSTITUIÇÃO],MATCH(LO[[#This Row],[INSTITUIÇÃO]],TabInst[DESCRIÇÃO],0)),"")</f>
        <v/>
      </c>
      <c r="S193" t="str">
        <f>PROPER(TEXT(LO[[#This Row],[DT Venc]],"MMM"))</f>
        <v>May</v>
      </c>
      <c r="T193">
        <f>YEAR(LO[[#This Row],[DT Venc]])</f>
        <v>2026</v>
      </c>
      <c r="U193" t="str">
        <f>IFERROR(VLOOKUP(LO[[#This Row],[CATEGORIA]],TabCategoria[],2,FALSE),"")</f>
        <v/>
      </c>
      <c r="V193" t="str">
        <f>IF(LO[[#This Row],[CONTA/CARTAO]]="Cartão","Cartão",IF(LO[[#This Row],[CATEGORIA]]="Pagamento de Cartão","Fatura",""))</f>
        <v/>
      </c>
      <c r="W193">
        <f>IF(LO[[#This Row],[Tipo]]="Receita",LO[[#This Row],[Valor]],IF(LO[[#This Row],[Tipo]]="Despesa",-LO[[#This Row],[Valor]],0))</f>
        <v>-1000</v>
      </c>
    </row>
    <row r="194" spans="2:23" hidden="1" x14ac:dyDescent="0.3">
      <c r="B194" s="11"/>
      <c r="C194" s="11"/>
      <c r="D194" s="100"/>
      <c r="E194" s="101"/>
      <c r="F194" s="100"/>
      <c r="G194" s="100"/>
      <c r="H194" s="100"/>
      <c r="I194" s="100"/>
      <c r="J194" s="102" t="str">
        <f>IFERROR(VLOOKUP(LO[[#This Row],[Descrição]],TabCategoria[],2,FALSE),"")</f>
        <v/>
      </c>
      <c r="K194" s="102" t="str">
        <f>IFERROR(VLOOKUP(LO[[#This Row],[Descrição]],TabCategoria[],3,FALSE),"")</f>
        <v/>
      </c>
      <c r="L194" s="102" t="str">
        <f>IFERROR(VLOOKUP(LO[[#This Row],[Descrição]],TabCategoria[],4,FALSE),"")</f>
        <v/>
      </c>
      <c r="M194" s="102" t="str">
        <f>IFERROR(VLOOKUP(LO[[#This Row],[Descrição]],TabCategoria[],5,FALSE),"")</f>
        <v/>
      </c>
      <c r="N194" s="102">
        <f>SUMIFS(TabCategoria[Meta Mês],TabCategoria[Categoria],LO[[#This Row],[CATEGORIA]])</f>
        <v>0</v>
      </c>
      <c r="O194" s="103">
        <f>SUMIFS(LO[Valor],LO[CATEGORIA],LO[[#This Row],[CATEGORIA]],LO[ANO],LO[[#This Row],[ANO]],LO[MÊS],LO[[#This Row],[MÊS]])
/COUNTIFS(LO[CATEGORIA],LO[[#This Row],[CATEGORIA]],LO[ANO],LO[[#This Row],[ANO]],LO[MÊS],LO[[#This Row],[MÊS]])</f>
        <v>0</v>
      </c>
      <c r="P194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4" s="102" t="str">
        <f>IFERROR(INDEX(TabInst[TIPO],MATCH(LO[[#This Row],[INSTITUIÇÃO]],TabInst[DESCRIÇÃO],0)),"")</f>
        <v/>
      </c>
      <c r="R194" s="102" t="str">
        <f>IFERROR(INDEX(TabInst[INSTITUIÇÃO],MATCH(LO[[#This Row],[INSTITUIÇÃO]],TabInst[DESCRIÇÃO],0)),"")</f>
        <v/>
      </c>
      <c r="S194" s="102" t="str">
        <f>PROPER(TEXT(LO[[#This Row],[DT Venc]],"MMM"))</f>
        <v>Jan</v>
      </c>
      <c r="T194" s="102">
        <f>YEAR(LO[[#This Row],[DT Venc]])</f>
        <v>1900</v>
      </c>
      <c r="U194" s="102" t="str">
        <f>IFERROR(VLOOKUP(LO[[#This Row],[CATEGORIA]],TabCategoria[],2,FALSE),"")</f>
        <v/>
      </c>
      <c r="V194" s="102" t="str">
        <f>IF(LO[[#This Row],[CONTA/CARTAO]]="Cartão","Cartão",IF(LO[[#This Row],[CATEGORIA]]="Pagamento de Cartão","Fatura",""))</f>
        <v/>
      </c>
      <c r="W194" s="102">
        <f>IF(LO[[#This Row],[Tipo]]="Receita",LO[[#This Row],[Valor]],IF(LO[[#This Row],[Tipo]]="Despesa",-LO[[#This Row],[Valor]],0))</f>
        <v>0</v>
      </c>
    </row>
    <row r="195" spans="2:23" hidden="1" x14ac:dyDescent="0.3">
      <c r="B195" s="11"/>
      <c r="C195" s="11"/>
      <c r="D195" s="100"/>
      <c r="E195" s="101"/>
      <c r="F195" s="100"/>
      <c r="G195" s="100"/>
      <c r="H195" s="100"/>
      <c r="I195" s="100"/>
      <c r="J195" s="102" t="str">
        <f>IFERROR(VLOOKUP(LO[[#This Row],[Descrição]],TabCategoria[],2,FALSE),"")</f>
        <v/>
      </c>
      <c r="K195" s="102" t="str">
        <f>IFERROR(VLOOKUP(LO[[#This Row],[Descrição]],TabCategoria[],3,FALSE),"")</f>
        <v/>
      </c>
      <c r="L195" s="102" t="str">
        <f>IFERROR(VLOOKUP(LO[[#This Row],[Descrição]],TabCategoria[],4,FALSE),"")</f>
        <v/>
      </c>
      <c r="M195" s="102" t="str">
        <f>IFERROR(VLOOKUP(LO[[#This Row],[Descrição]],TabCategoria[],5,FALSE),"")</f>
        <v/>
      </c>
      <c r="N195" s="102">
        <f>SUMIFS(TabCategoria[Meta Mês],TabCategoria[Categoria],LO[[#This Row],[CATEGORIA]])</f>
        <v>0</v>
      </c>
      <c r="O195" s="103">
        <f>SUMIFS(LO[Valor],LO[CATEGORIA],LO[[#This Row],[CATEGORIA]],LO[ANO],LO[[#This Row],[ANO]],LO[MÊS],LO[[#This Row],[MÊS]])
/COUNTIFS(LO[CATEGORIA],LO[[#This Row],[CATEGORIA]],LO[ANO],LO[[#This Row],[ANO]],LO[MÊS],LO[[#This Row],[MÊS]])</f>
        <v>0</v>
      </c>
      <c r="P195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5" s="102" t="str">
        <f>IFERROR(INDEX(TabInst[TIPO],MATCH(LO[[#This Row],[INSTITUIÇÃO]],TabInst[DESCRIÇÃO],0)),"")</f>
        <v/>
      </c>
      <c r="R195" s="102" t="str">
        <f>IFERROR(INDEX(TabInst[INSTITUIÇÃO],MATCH(LO[[#This Row],[INSTITUIÇÃO]],TabInst[DESCRIÇÃO],0)),"")</f>
        <v/>
      </c>
      <c r="S195" s="102" t="str">
        <f>PROPER(TEXT(LO[[#This Row],[DT Venc]],"MMM"))</f>
        <v>Jan</v>
      </c>
      <c r="T195" s="102">
        <f>YEAR(LO[[#This Row],[DT Venc]])</f>
        <v>1900</v>
      </c>
      <c r="U195" s="102" t="str">
        <f>IFERROR(VLOOKUP(LO[[#This Row],[CATEGORIA]],TabCategoria[],2,FALSE),"")</f>
        <v/>
      </c>
      <c r="V195" s="102" t="str">
        <f>IF(LO[[#This Row],[CONTA/CARTAO]]="Cartão","Cartão",IF(LO[[#This Row],[CATEGORIA]]="Pagamento de Cartão","Fatura",""))</f>
        <v/>
      </c>
      <c r="W195" s="102">
        <f>IF(LO[[#This Row],[Tipo]]="Receita",LO[[#This Row],[Valor]],IF(LO[[#This Row],[Tipo]]="Despesa",-LO[[#This Row],[Valor]],0))</f>
        <v>0</v>
      </c>
    </row>
    <row r="196" spans="2:23" hidden="1" x14ac:dyDescent="0.3">
      <c r="B196" s="11"/>
      <c r="C196" s="11"/>
      <c r="D196" s="100"/>
      <c r="E196" s="101"/>
      <c r="F196" s="100"/>
      <c r="G196" s="100"/>
      <c r="H196" s="100"/>
      <c r="I196" s="100"/>
      <c r="J196" s="102" t="str">
        <f>IFERROR(VLOOKUP(LO[[#This Row],[Descrição]],TabCategoria[],2,FALSE),"")</f>
        <v/>
      </c>
      <c r="K196" s="102" t="str">
        <f>IFERROR(VLOOKUP(LO[[#This Row],[Descrição]],TabCategoria[],3,FALSE),"")</f>
        <v/>
      </c>
      <c r="L196" s="102" t="str">
        <f>IFERROR(VLOOKUP(LO[[#This Row],[Descrição]],TabCategoria[],4,FALSE),"")</f>
        <v/>
      </c>
      <c r="M196" s="102" t="str">
        <f>IFERROR(VLOOKUP(LO[[#This Row],[Descrição]],TabCategoria[],5,FALSE),"")</f>
        <v/>
      </c>
      <c r="N196" s="102">
        <f>SUMIFS(TabCategoria[Meta Mês],TabCategoria[Categoria],LO[[#This Row],[CATEGORIA]])</f>
        <v>0</v>
      </c>
      <c r="O196" s="103">
        <f>SUMIFS(LO[Valor],LO[CATEGORIA],LO[[#This Row],[CATEGORIA]],LO[ANO],LO[[#This Row],[ANO]],LO[MÊS],LO[[#This Row],[MÊS]])
/COUNTIFS(LO[CATEGORIA],LO[[#This Row],[CATEGORIA]],LO[ANO],LO[[#This Row],[ANO]],LO[MÊS],LO[[#This Row],[MÊS]])</f>
        <v>0</v>
      </c>
      <c r="P196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6" s="102" t="str">
        <f>IFERROR(INDEX(TabInst[TIPO],MATCH(LO[[#This Row],[INSTITUIÇÃO]],TabInst[DESCRIÇÃO],0)),"")</f>
        <v/>
      </c>
      <c r="R196" s="102" t="str">
        <f>IFERROR(INDEX(TabInst[INSTITUIÇÃO],MATCH(LO[[#This Row],[INSTITUIÇÃO]],TabInst[DESCRIÇÃO],0)),"")</f>
        <v/>
      </c>
      <c r="S196" s="102" t="str">
        <f>PROPER(TEXT(LO[[#This Row],[DT Venc]],"MMM"))</f>
        <v>Jan</v>
      </c>
      <c r="T196" s="102">
        <f>YEAR(LO[[#This Row],[DT Venc]])</f>
        <v>1900</v>
      </c>
      <c r="U196" s="102" t="str">
        <f>IFERROR(VLOOKUP(LO[[#This Row],[CATEGORIA]],TabCategoria[],2,FALSE),"")</f>
        <v/>
      </c>
      <c r="V196" s="102" t="str">
        <f>IF(LO[[#This Row],[CONTA/CARTAO]]="Cartão","Cartão",IF(LO[[#This Row],[CATEGORIA]]="Pagamento de Cartão","Fatura",""))</f>
        <v/>
      </c>
      <c r="W196" s="102">
        <f>IF(LO[[#This Row],[Tipo]]="Receita",LO[[#This Row],[Valor]],IF(LO[[#This Row],[Tipo]]="Despesa",-LO[[#This Row],[Valor]],0))</f>
        <v>0</v>
      </c>
    </row>
    <row r="197" spans="2:23" hidden="1" x14ac:dyDescent="0.3">
      <c r="B197" s="11"/>
      <c r="C197" s="11"/>
      <c r="D197" s="100"/>
      <c r="E197" s="101"/>
      <c r="F197" s="100"/>
      <c r="G197" s="100"/>
      <c r="H197" s="100"/>
      <c r="I197" s="100"/>
      <c r="J197" s="102" t="str">
        <f>IFERROR(VLOOKUP(LO[[#This Row],[Descrição]],TabCategoria[],2,FALSE),"")</f>
        <v/>
      </c>
      <c r="K197" s="102" t="str">
        <f>IFERROR(VLOOKUP(LO[[#This Row],[Descrição]],TabCategoria[],3,FALSE),"")</f>
        <v/>
      </c>
      <c r="L197" s="102" t="str">
        <f>IFERROR(VLOOKUP(LO[[#This Row],[Descrição]],TabCategoria[],4,FALSE),"")</f>
        <v/>
      </c>
      <c r="M197" s="102" t="str">
        <f>IFERROR(VLOOKUP(LO[[#This Row],[Descrição]],TabCategoria[],5,FALSE),"")</f>
        <v/>
      </c>
      <c r="N197" s="102">
        <f>SUMIFS(TabCategoria[Meta Mês],TabCategoria[Categoria],LO[[#This Row],[CATEGORIA]])</f>
        <v>0</v>
      </c>
      <c r="O197" s="103">
        <f>SUMIFS(LO[Valor],LO[CATEGORIA],LO[[#This Row],[CATEGORIA]],LO[ANO],LO[[#This Row],[ANO]],LO[MÊS],LO[[#This Row],[MÊS]])
/COUNTIFS(LO[CATEGORIA],LO[[#This Row],[CATEGORIA]],LO[ANO],LO[[#This Row],[ANO]],LO[MÊS],LO[[#This Row],[MÊS]])</f>
        <v>0</v>
      </c>
      <c r="P197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7" s="102" t="str">
        <f>IFERROR(INDEX(TabInst[TIPO],MATCH(LO[[#This Row],[INSTITUIÇÃO]],TabInst[DESCRIÇÃO],0)),"")</f>
        <v/>
      </c>
      <c r="R197" s="102" t="str">
        <f>IFERROR(INDEX(TabInst[INSTITUIÇÃO],MATCH(LO[[#This Row],[INSTITUIÇÃO]],TabInst[DESCRIÇÃO],0)),"")</f>
        <v/>
      </c>
      <c r="S197" s="102" t="str">
        <f>PROPER(TEXT(LO[[#This Row],[DT Venc]],"MMM"))</f>
        <v>Jan</v>
      </c>
      <c r="T197" s="102">
        <f>YEAR(LO[[#This Row],[DT Venc]])</f>
        <v>1900</v>
      </c>
      <c r="U197" s="102" t="str">
        <f>IFERROR(VLOOKUP(LO[[#This Row],[CATEGORIA]],TabCategoria[],2,FALSE),"")</f>
        <v/>
      </c>
      <c r="V197" s="102" t="str">
        <f>IF(LO[[#This Row],[CONTA/CARTAO]]="Cartão","Cartão",IF(LO[[#This Row],[CATEGORIA]]="Pagamento de Cartão","Fatura",""))</f>
        <v/>
      </c>
      <c r="W197" s="102">
        <f>IF(LO[[#This Row],[Tipo]]="Receita",LO[[#This Row],[Valor]],IF(LO[[#This Row],[Tipo]]="Despesa",-LO[[#This Row],[Valor]],0))</f>
        <v>0</v>
      </c>
    </row>
    <row r="198" spans="2:23" x14ac:dyDescent="0.3">
      <c r="B198" s="11">
        <v>46174</v>
      </c>
      <c r="C198" s="11">
        <v>46188</v>
      </c>
      <c r="D198" s="100" t="s">
        <v>363</v>
      </c>
      <c r="E198" s="101">
        <v>460</v>
      </c>
      <c r="F198" s="100" t="s">
        <v>284</v>
      </c>
      <c r="G198" s="100" t="s">
        <v>364</v>
      </c>
      <c r="H198" t="s">
        <v>355</v>
      </c>
      <c r="I198" s="100"/>
      <c r="J198" s="102" t="str">
        <f>IFERROR(VLOOKUP(LO[[#This Row],[Descrição]],TabCategoria[],2,FALSE),"")</f>
        <v>NÃO OPERACIONAL</v>
      </c>
      <c r="K198" s="102" t="str">
        <f>IFERROR(VLOOKUP(LO[[#This Row],[Descrição]],TabCategoria[],3,FALSE),"")</f>
        <v>DESPESA</v>
      </c>
      <c r="L198" s="102" t="str">
        <f>IFERROR(VLOOKUP(LO[[#This Row],[Descrição]],TabCategoria[],4,FALSE),"")</f>
        <v>Investimentos</v>
      </c>
      <c r="M198" s="102" t="str">
        <f>IFERROR(VLOOKUP(LO[[#This Row],[Descrição]],TabCategoria[],5,FALSE),"")</f>
        <v>Projeto 1</v>
      </c>
      <c r="N198" s="102">
        <f>SUMIFS(TabCategoria[Meta Mês],TabCategoria[Categoria],LO[[#This Row],[CATEGORIA]])</f>
        <v>0</v>
      </c>
      <c r="O198" s="103">
        <f>SUMIFS(LO[Valor],LO[CATEGORIA],LO[[#This Row],[CATEGORIA]],LO[ANO],LO[[#This Row],[ANO]],LO[MÊS],LO[[#This Row],[MÊS]])
/COUNTIFS(LO[CATEGORIA],LO[[#This Row],[CATEGORIA]],LO[ANO],LO[[#This Row],[ANO]],LO[MÊS],LO[[#This Row],[MÊS]])</f>
        <v>460</v>
      </c>
      <c r="P198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8" s="102" t="str">
        <f>IFERROR(INDEX(TabInst[TIPO],MATCH(LO[[#This Row],[INSTITUIÇÃO]],TabInst[DESCRIÇÃO],0)),"")</f>
        <v/>
      </c>
      <c r="R198" s="102" t="str">
        <f>IFERROR(INDEX(TabInst[INSTITUIÇÃO],MATCH(LO[[#This Row],[INSTITUIÇÃO]],TabInst[DESCRIÇÃO],0)),"")</f>
        <v/>
      </c>
      <c r="S198" s="102" t="str">
        <f>PROPER(TEXT(LO[[#This Row],[DT Venc]],"MMM"))</f>
        <v>Jun</v>
      </c>
      <c r="T198" s="102">
        <f>YEAR(LO[[#This Row],[DT Venc]])</f>
        <v>2026</v>
      </c>
      <c r="U198" s="102" t="str">
        <f>IFERROR(VLOOKUP(LO[[#This Row],[CATEGORIA]],TabCategoria[],2,FALSE),"")</f>
        <v/>
      </c>
      <c r="V198" s="102" t="str">
        <f>IF(LO[[#This Row],[CONTA/CARTAO]]="Cartão","Cartão",IF(LO[[#This Row],[CATEGORIA]]="Pagamento de Cartão","Fatura",""))</f>
        <v/>
      </c>
      <c r="W198" s="102">
        <f>IF(LO[[#This Row],[Tipo]]="Receita",LO[[#This Row],[Valor]],IF(LO[[#This Row],[Tipo]]="Despesa",-LO[[#This Row],[Valor]],0))</f>
        <v>-460</v>
      </c>
    </row>
    <row r="199" spans="2:23" hidden="1" x14ac:dyDescent="0.3">
      <c r="B199" s="11">
        <v>46174</v>
      </c>
      <c r="C199" s="11">
        <v>46212</v>
      </c>
      <c r="D199" s="100" t="s">
        <v>309</v>
      </c>
      <c r="E199" s="101">
        <v>60</v>
      </c>
      <c r="F199" s="100" t="s">
        <v>284</v>
      </c>
      <c r="G199" s="100" t="s">
        <v>280</v>
      </c>
      <c r="H199" s="100" t="s">
        <v>313</v>
      </c>
      <c r="I199" s="100" t="s">
        <v>366</v>
      </c>
      <c r="J199" s="102" t="str">
        <f>IFERROR(VLOOKUP(LO[[#This Row],[Descrição]],TabCategoria[],2,FALSE),"")</f>
        <v>OPERACIONAL</v>
      </c>
      <c r="K199" s="102" t="str">
        <f>IFERROR(VLOOKUP(LO[[#This Row],[Descrição]],TabCategoria[],3,FALSE),"")</f>
        <v>DESPESA</v>
      </c>
      <c r="L199" s="102" t="str">
        <f>IFERROR(VLOOKUP(LO[[#This Row],[Descrição]],TabCategoria[],4,FALSE),"")</f>
        <v>Saúde</v>
      </c>
      <c r="M199" s="102" t="str">
        <f>IFERROR(VLOOKUP(LO[[#This Row],[Descrição]],TabCategoria[],5,FALSE),"")</f>
        <v>Medicamentos / Farmácia</v>
      </c>
      <c r="N199" s="102">
        <f>SUMIFS(TabCategoria[Meta Mês],TabCategoria[Categoria],LO[[#This Row],[CATEGORIA]])</f>
        <v>0</v>
      </c>
      <c r="O199" s="103">
        <f>SUMIFS(LO[Valor],LO[CATEGORIA],LO[[#This Row],[CATEGORIA]],LO[ANO],LO[[#This Row],[ANO]],LO[MÊS],LO[[#This Row],[MÊS]])
/COUNTIFS(LO[CATEGORIA],LO[[#This Row],[CATEGORIA]],LO[ANO],LO[[#This Row],[ANO]],LO[MÊS],LO[[#This Row],[MÊS]])</f>
        <v>60</v>
      </c>
      <c r="P199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199" s="102" t="str">
        <f>IFERROR(INDEX(TabInst[TIPO],MATCH(LO[[#This Row],[INSTITUIÇÃO]],TabInst[DESCRIÇÃO],0)),"")</f>
        <v/>
      </c>
      <c r="R199" s="102" t="str">
        <f>IFERROR(INDEX(TabInst[INSTITUIÇÃO],MATCH(LO[[#This Row],[INSTITUIÇÃO]],TabInst[DESCRIÇÃO],0)),"")</f>
        <v/>
      </c>
      <c r="S199" s="102" t="str">
        <f>PROPER(TEXT(LO[[#This Row],[DT Venc]],"MMM"))</f>
        <v>Jul</v>
      </c>
      <c r="T199" s="102">
        <f>YEAR(LO[[#This Row],[DT Venc]])</f>
        <v>2026</v>
      </c>
      <c r="U199" s="102" t="str">
        <f>IFERROR(VLOOKUP(LO[[#This Row],[CATEGORIA]],TabCategoria[],2,FALSE),"")</f>
        <v/>
      </c>
      <c r="V199" s="102" t="str">
        <f>IF(LO[[#This Row],[CONTA/CARTAO]]="Cartão","Cartão",IF(LO[[#This Row],[CATEGORIA]]="Pagamento de Cartão","Fatura",""))</f>
        <v/>
      </c>
      <c r="W199" s="102">
        <f>IF(LO[[#This Row],[Tipo]]="Receita",LO[[#This Row],[Valor]],IF(LO[[#This Row],[Tipo]]="Despesa",-LO[[#This Row],[Valor]],0))</f>
        <v>-60</v>
      </c>
    </row>
    <row r="200" spans="2:23" hidden="1" x14ac:dyDescent="0.3">
      <c r="B200" s="11">
        <v>46174</v>
      </c>
      <c r="C200" s="11">
        <v>46212</v>
      </c>
      <c r="D200" s="100" t="s">
        <v>367</v>
      </c>
      <c r="E200" s="101">
        <v>175</v>
      </c>
      <c r="F200" s="100" t="s">
        <v>284</v>
      </c>
      <c r="G200" s="100" t="s">
        <v>368</v>
      </c>
      <c r="H200" s="100" t="s">
        <v>313</v>
      </c>
      <c r="I200" s="100" t="s">
        <v>369</v>
      </c>
      <c r="J200" s="102" t="str">
        <f>IFERROR(VLOOKUP(LO[[#This Row],[Descrição]],TabCategoria[],2,FALSE),"")</f>
        <v>NÃO OPERACIONAL</v>
      </c>
      <c r="K200" s="102" t="str">
        <f>IFERROR(VLOOKUP(LO[[#This Row],[Descrição]],TabCategoria[],3,FALSE),"")</f>
        <v>RECEITA</v>
      </c>
      <c r="L200" s="102" t="str">
        <f>IFERROR(VLOOKUP(LO[[#This Row],[Descrição]],TabCategoria[],4,FALSE),"")</f>
        <v>Resgates</v>
      </c>
      <c r="M200" s="102" t="str">
        <f>IFERROR(VLOOKUP(LO[[#This Row],[Descrição]],TabCategoria[],5,FALSE),"")</f>
        <v>Venda de Objetos</v>
      </c>
      <c r="N200" s="102">
        <f>SUMIFS(TabCategoria[Meta Mês],TabCategoria[Categoria],LO[[#This Row],[CATEGORIA]])</f>
        <v>0</v>
      </c>
      <c r="O200" s="103">
        <f>SUMIFS(LO[Valor],LO[CATEGORIA],LO[[#This Row],[CATEGORIA]],LO[ANO],LO[[#This Row],[ANO]],LO[MÊS],LO[[#This Row],[MÊS]])
/COUNTIFS(LO[CATEGORIA],LO[[#This Row],[CATEGORIA]],LO[ANO],LO[[#This Row],[ANO]],LO[MÊS],LO[[#This Row],[MÊS]])</f>
        <v>205</v>
      </c>
      <c r="P200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00" s="102" t="str">
        <f>IFERROR(INDEX(TabInst[TIPO],MATCH(LO[[#This Row],[INSTITUIÇÃO]],TabInst[DESCRIÇÃO],0)),"")</f>
        <v/>
      </c>
      <c r="R200" s="102" t="str">
        <f>IFERROR(INDEX(TabInst[INSTITUIÇÃO],MATCH(LO[[#This Row],[INSTITUIÇÃO]],TabInst[DESCRIÇÃO],0)),"")</f>
        <v/>
      </c>
      <c r="S200" s="102" t="str">
        <f>PROPER(TEXT(LO[[#This Row],[DT Venc]],"MMM"))</f>
        <v>Jul</v>
      </c>
      <c r="T200" s="102">
        <f>YEAR(LO[[#This Row],[DT Venc]])</f>
        <v>2026</v>
      </c>
      <c r="U200" s="102" t="str">
        <f>IFERROR(VLOOKUP(LO[[#This Row],[CATEGORIA]],TabCategoria[],2,FALSE),"")</f>
        <v/>
      </c>
      <c r="V200" s="102" t="str">
        <f>IF(LO[[#This Row],[CONTA/CARTAO]]="Cartão","Cartão",IF(LO[[#This Row],[CATEGORIA]]="Pagamento de Cartão","Fatura",""))</f>
        <v/>
      </c>
      <c r="W200" s="102">
        <f>IF(LO[[#This Row],[Tipo]]="Receita",LO[[#This Row],[Valor]],IF(LO[[#This Row],[Tipo]]="Despesa",-LO[[#This Row],[Valor]],0))</f>
        <v>175</v>
      </c>
    </row>
    <row r="201" spans="2:23" hidden="1" x14ac:dyDescent="0.3">
      <c r="B201" s="11">
        <v>46174</v>
      </c>
      <c r="C201" s="11">
        <v>46212</v>
      </c>
      <c r="D201" s="100" t="s">
        <v>367</v>
      </c>
      <c r="E201" s="101">
        <v>250</v>
      </c>
      <c r="F201" s="100" t="s">
        <v>284</v>
      </c>
      <c r="G201" s="100" t="s">
        <v>370</v>
      </c>
      <c r="H201" s="100" t="s">
        <v>313</v>
      </c>
      <c r="I201" s="100" t="s">
        <v>371</v>
      </c>
      <c r="J201" s="102" t="str">
        <f>IFERROR(VLOOKUP(LO[[#This Row],[Descrição]],TabCategoria[],2,FALSE),"")</f>
        <v>NÃO OPERACIONAL</v>
      </c>
      <c r="K201" s="102" t="str">
        <f>IFERROR(VLOOKUP(LO[[#This Row],[Descrição]],TabCategoria[],3,FALSE),"")</f>
        <v>RECEITA</v>
      </c>
      <c r="L201" s="102" t="str">
        <f>IFERROR(VLOOKUP(LO[[#This Row],[Descrição]],TabCategoria[],4,FALSE),"")</f>
        <v>Resgates</v>
      </c>
      <c r="M201" s="102" t="str">
        <f>IFERROR(VLOOKUP(LO[[#This Row],[Descrição]],TabCategoria[],5,FALSE),"")</f>
        <v>Venda de Objetos</v>
      </c>
      <c r="N201" s="102">
        <f>SUMIFS(TabCategoria[Meta Mês],TabCategoria[Categoria],LO[[#This Row],[CATEGORIA]])</f>
        <v>0</v>
      </c>
      <c r="O201" s="103">
        <f>SUMIFS(LO[Valor],LO[CATEGORIA],LO[[#This Row],[CATEGORIA]],LO[ANO],LO[[#This Row],[ANO]],LO[MÊS],LO[[#This Row],[MÊS]])
/COUNTIFS(LO[CATEGORIA],LO[[#This Row],[CATEGORIA]],LO[ANO],LO[[#This Row],[ANO]],LO[MÊS],LO[[#This Row],[MÊS]])</f>
        <v>205</v>
      </c>
      <c r="P201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01" s="102" t="str">
        <f>IFERROR(INDEX(TabInst[TIPO],MATCH(LO[[#This Row],[INSTITUIÇÃO]],TabInst[DESCRIÇÃO],0)),"")</f>
        <v/>
      </c>
      <c r="R201" s="102" t="str">
        <f>IFERROR(INDEX(TabInst[INSTITUIÇÃO],MATCH(LO[[#This Row],[INSTITUIÇÃO]],TabInst[DESCRIÇÃO],0)),"")</f>
        <v/>
      </c>
      <c r="S201" s="102" t="str">
        <f>PROPER(TEXT(LO[[#This Row],[DT Venc]],"MMM"))</f>
        <v>Jul</v>
      </c>
      <c r="T201" s="102">
        <f>YEAR(LO[[#This Row],[DT Venc]])</f>
        <v>2026</v>
      </c>
      <c r="U201" s="102" t="str">
        <f>IFERROR(VLOOKUP(LO[[#This Row],[CATEGORIA]],TabCategoria[],2,FALSE),"")</f>
        <v/>
      </c>
      <c r="V201" s="102" t="str">
        <f>IF(LO[[#This Row],[CONTA/CARTAO]]="Cartão","Cartão",IF(LO[[#This Row],[CATEGORIA]]="Pagamento de Cartão","Fatura",""))</f>
        <v/>
      </c>
      <c r="W201" s="102">
        <f>IF(LO[[#This Row],[Tipo]]="Receita",LO[[#This Row],[Valor]],IF(LO[[#This Row],[Tipo]]="Despesa",-LO[[#This Row],[Valor]],0))</f>
        <v>250</v>
      </c>
    </row>
    <row r="202" spans="2:23" hidden="1" x14ac:dyDescent="0.3">
      <c r="B202" s="11">
        <v>46174</v>
      </c>
      <c r="C202" s="11">
        <v>46212</v>
      </c>
      <c r="D202" s="100" t="s">
        <v>367</v>
      </c>
      <c r="E202" s="101">
        <v>400</v>
      </c>
      <c r="F202" s="100" t="s">
        <v>284</v>
      </c>
      <c r="G202" s="100" t="s">
        <v>372</v>
      </c>
      <c r="H202" s="100" t="s">
        <v>313</v>
      </c>
      <c r="I202" s="100" t="s">
        <v>373</v>
      </c>
      <c r="J202" s="102" t="str">
        <f>IFERROR(VLOOKUP(LO[[#This Row],[Descrição]],TabCategoria[],2,FALSE),"")</f>
        <v>NÃO OPERACIONAL</v>
      </c>
      <c r="K202" s="102" t="str">
        <f>IFERROR(VLOOKUP(LO[[#This Row],[Descrição]],TabCategoria[],3,FALSE),"")</f>
        <v>RECEITA</v>
      </c>
      <c r="L202" s="102" t="str">
        <f>IFERROR(VLOOKUP(LO[[#This Row],[Descrição]],TabCategoria[],4,FALSE),"")</f>
        <v>Resgates</v>
      </c>
      <c r="M202" s="102" t="str">
        <f>IFERROR(VLOOKUP(LO[[#This Row],[Descrição]],TabCategoria[],5,FALSE),"")</f>
        <v>Venda de Objetos</v>
      </c>
      <c r="N202" s="102">
        <f>SUMIFS(TabCategoria[Meta Mês],TabCategoria[Categoria],LO[[#This Row],[CATEGORIA]])</f>
        <v>0</v>
      </c>
      <c r="O202" s="103">
        <f>SUMIFS(LO[Valor],LO[CATEGORIA],LO[[#This Row],[CATEGORIA]],LO[ANO],LO[[#This Row],[ANO]],LO[MÊS],LO[[#This Row],[MÊS]])
/COUNTIFS(LO[CATEGORIA],LO[[#This Row],[CATEGORIA]],LO[ANO],LO[[#This Row],[ANO]],LO[MÊS],LO[[#This Row],[MÊS]])</f>
        <v>205</v>
      </c>
      <c r="P202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02" s="102" t="str">
        <f>IFERROR(INDEX(TabInst[TIPO],MATCH(LO[[#This Row],[INSTITUIÇÃO]],TabInst[DESCRIÇÃO],0)),"")</f>
        <v/>
      </c>
      <c r="R202" s="102" t="str">
        <f>IFERROR(INDEX(TabInst[INSTITUIÇÃO],MATCH(LO[[#This Row],[INSTITUIÇÃO]],TabInst[DESCRIÇÃO],0)),"")</f>
        <v/>
      </c>
      <c r="S202" s="102" t="str">
        <f>PROPER(TEXT(LO[[#This Row],[DT Venc]],"MMM"))</f>
        <v>Jul</v>
      </c>
      <c r="T202" s="102">
        <f>YEAR(LO[[#This Row],[DT Venc]])</f>
        <v>2026</v>
      </c>
      <c r="U202" s="102" t="str">
        <f>IFERROR(VLOOKUP(LO[[#This Row],[CATEGORIA]],TabCategoria[],2,FALSE),"")</f>
        <v/>
      </c>
      <c r="V202" s="102" t="str">
        <f>IF(LO[[#This Row],[CONTA/CARTAO]]="Cartão","Cartão",IF(LO[[#This Row],[CATEGORIA]]="Pagamento de Cartão","Fatura",""))</f>
        <v/>
      </c>
      <c r="W202" s="102">
        <f>IF(LO[[#This Row],[Tipo]]="Receita",LO[[#This Row],[Valor]],IF(LO[[#This Row],[Tipo]]="Despesa",-LO[[#This Row],[Valor]],0))</f>
        <v>400</v>
      </c>
    </row>
    <row r="203" spans="2:23" hidden="1" x14ac:dyDescent="0.3">
      <c r="B203" s="11">
        <v>46174</v>
      </c>
      <c r="C203" s="11">
        <v>46212</v>
      </c>
      <c r="D203" s="100" t="s">
        <v>367</v>
      </c>
      <c r="E203" s="101">
        <v>100</v>
      </c>
      <c r="F203" s="100" t="s">
        <v>284</v>
      </c>
      <c r="G203" s="100" t="s">
        <v>330</v>
      </c>
      <c r="H203" s="100" t="s">
        <v>313</v>
      </c>
      <c r="I203" s="100" t="s">
        <v>374</v>
      </c>
      <c r="J203" s="102" t="str">
        <f>IFERROR(VLOOKUP(LO[[#This Row],[Descrição]],TabCategoria[],2,FALSE),"")</f>
        <v>NÃO OPERACIONAL</v>
      </c>
      <c r="K203" s="102" t="str">
        <f>IFERROR(VLOOKUP(LO[[#This Row],[Descrição]],TabCategoria[],3,FALSE),"")</f>
        <v>RECEITA</v>
      </c>
      <c r="L203" s="102" t="str">
        <f>IFERROR(VLOOKUP(LO[[#This Row],[Descrição]],TabCategoria[],4,FALSE),"")</f>
        <v>Resgates</v>
      </c>
      <c r="M203" s="102" t="str">
        <f>IFERROR(VLOOKUP(LO[[#This Row],[Descrição]],TabCategoria[],5,FALSE),"")</f>
        <v>Venda de Objetos</v>
      </c>
      <c r="N203" s="102">
        <f>SUMIFS(TabCategoria[Meta Mês],TabCategoria[Categoria],LO[[#This Row],[CATEGORIA]])</f>
        <v>0</v>
      </c>
      <c r="O203" s="103">
        <f>SUMIFS(LO[Valor],LO[CATEGORIA],LO[[#This Row],[CATEGORIA]],LO[ANO],LO[[#This Row],[ANO]],LO[MÊS],LO[[#This Row],[MÊS]])
/COUNTIFS(LO[CATEGORIA],LO[[#This Row],[CATEGORIA]],LO[ANO],LO[[#This Row],[ANO]],LO[MÊS],LO[[#This Row],[MÊS]])</f>
        <v>205</v>
      </c>
      <c r="P203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03" s="102" t="str">
        <f>IFERROR(INDEX(TabInst[TIPO],MATCH(LO[[#This Row],[INSTITUIÇÃO]],TabInst[DESCRIÇÃO],0)),"")</f>
        <v/>
      </c>
      <c r="R203" s="102" t="str">
        <f>IFERROR(INDEX(TabInst[INSTITUIÇÃO],MATCH(LO[[#This Row],[INSTITUIÇÃO]],TabInst[DESCRIÇÃO],0)),"")</f>
        <v/>
      </c>
      <c r="S203" s="102" t="str">
        <f>PROPER(TEXT(LO[[#This Row],[DT Venc]],"MMM"))</f>
        <v>Jul</v>
      </c>
      <c r="T203" s="102">
        <f>YEAR(LO[[#This Row],[DT Venc]])</f>
        <v>2026</v>
      </c>
      <c r="U203" s="102" t="str">
        <f>IFERROR(VLOOKUP(LO[[#This Row],[CATEGORIA]],TabCategoria[],2,FALSE),"")</f>
        <v/>
      </c>
      <c r="V203" s="102" t="str">
        <f>IF(LO[[#This Row],[CONTA/CARTAO]]="Cartão","Cartão",IF(LO[[#This Row],[CATEGORIA]]="Pagamento de Cartão","Fatura",""))</f>
        <v/>
      </c>
      <c r="W203" s="102">
        <f>IF(LO[[#This Row],[Tipo]]="Receita",LO[[#This Row],[Valor]],IF(LO[[#This Row],[Tipo]]="Despesa",-LO[[#This Row],[Valor]],0))</f>
        <v>100</v>
      </c>
    </row>
    <row r="204" spans="2:23" hidden="1" x14ac:dyDescent="0.3">
      <c r="B204" s="11">
        <v>46174</v>
      </c>
      <c r="C204" s="11">
        <v>46212</v>
      </c>
      <c r="D204" s="100" t="s">
        <v>367</v>
      </c>
      <c r="E204" s="101">
        <v>100</v>
      </c>
      <c r="F204" s="100" t="s">
        <v>284</v>
      </c>
      <c r="G204" s="100" t="s">
        <v>330</v>
      </c>
      <c r="H204" s="100" t="s">
        <v>313</v>
      </c>
      <c r="I204" s="100" t="s">
        <v>375</v>
      </c>
      <c r="J204" s="102" t="str">
        <f>IFERROR(VLOOKUP(LO[[#This Row],[Descrição]],TabCategoria[],2,FALSE),"")</f>
        <v>NÃO OPERACIONAL</v>
      </c>
      <c r="K204" s="102" t="str">
        <f>IFERROR(VLOOKUP(LO[[#This Row],[Descrição]],TabCategoria[],3,FALSE),"")</f>
        <v>RECEITA</v>
      </c>
      <c r="L204" s="102" t="str">
        <f>IFERROR(VLOOKUP(LO[[#This Row],[Descrição]],TabCategoria[],4,FALSE),"")</f>
        <v>Resgates</v>
      </c>
      <c r="M204" s="102" t="str">
        <f>IFERROR(VLOOKUP(LO[[#This Row],[Descrição]],TabCategoria[],5,FALSE),"")</f>
        <v>Venda de Objetos</v>
      </c>
      <c r="N204" s="102">
        <f>SUMIFS(TabCategoria[Meta Mês],TabCategoria[Categoria],LO[[#This Row],[CATEGORIA]])</f>
        <v>0</v>
      </c>
      <c r="O204" s="103">
        <f>SUMIFS(LO[Valor],LO[CATEGORIA],LO[[#This Row],[CATEGORIA]],LO[ANO],LO[[#This Row],[ANO]],LO[MÊS],LO[[#This Row],[MÊS]])
/COUNTIFS(LO[CATEGORIA],LO[[#This Row],[CATEGORIA]],LO[ANO],LO[[#This Row],[ANO]],LO[MÊS],LO[[#This Row],[MÊS]])</f>
        <v>205</v>
      </c>
      <c r="P204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04" s="102" t="str">
        <f>IFERROR(INDEX(TabInst[TIPO],MATCH(LO[[#This Row],[INSTITUIÇÃO]],TabInst[DESCRIÇÃO],0)),"")</f>
        <v/>
      </c>
      <c r="R204" s="102" t="str">
        <f>IFERROR(INDEX(TabInst[INSTITUIÇÃO],MATCH(LO[[#This Row],[INSTITUIÇÃO]],TabInst[DESCRIÇÃO],0)),"")</f>
        <v/>
      </c>
      <c r="S204" s="102" t="str">
        <f>PROPER(TEXT(LO[[#This Row],[DT Venc]],"MMM"))</f>
        <v>Jul</v>
      </c>
      <c r="T204" s="102">
        <f>YEAR(LO[[#This Row],[DT Venc]])</f>
        <v>2026</v>
      </c>
      <c r="U204" s="102" t="str">
        <f>IFERROR(VLOOKUP(LO[[#This Row],[CATEGORIA]],TabCategoria[],2,FALSE),"")</f>
        <v/>
      </c>
      <c r="V204" s="102" t="str">
        <f>IF(LO[[#This Row],[CONTA/CARTAO]]="Cartão","Cartão",IF(LO[[#This Row],[CATEGORIA]]="Pagamento de Cartão","Fatura",""))</f>
        <v/>
      </c>
      <c r="W204" s="102">
        <f>IF(LO[[#This Row],[Tipo]]="Receita",LO[[#This Row],[Valor]],IF(LO[[#This Row],[Tipo]]="Despesa",-LO[[#This Row],[Valor]],0))</f>
        <v>100</v>
      </c>
    </row>
    <row r="205" spans="2:23" hidden="1" x14ac:dyDescent="0.3">
      <c r="B205" s="11">
        <v>46174</v>
      </c>
      <c r="C205" s="11">
        <v>46212</v>
      </c>
      <c r="D205" s="100" t="s">
        <v>323</v>
      </c>
      <c r="E205" s="101">
        <v>430</v>
      </c>
      <c r="F205" s="100" t="s">
        <v>284</v>
      </c>
      <c r="G205" s="100" t="s">
        <v>281</v>
      </c>
      <c r="H205" s="100" t="s">
        <v>313</v>
      </c>
      <c r="I205" s="100" t="s">
        <v>376</v>
      </c>
      <c r="J205" s="102" t="str">
        <f>IFERROR(VLOOKUP(LO[[#This Row],[Descrição]],TabCategoria[],2,FALSE),"")</f>
        <v>NÃO OPERACIONAL</v>
      </c>
      <c r="K205" s="102" t="str">
        <f>IFERROR(VLOOKUP(LO[[#This Row],[Descrição]],TabCategoria[],3,FALSE),"")</f>
        <v>DESPESA</v>
      </c>
      <c r="L205" s="102" t="str">
        <f>IFERROR(VLOOKUP(LO[[#This Row],[Descrição]],TabCategoria[],4,FALSE),"")</f>
        <v>Empréstimo</v>
      </c>
      <c r="M205" s="102" t="str">
        <f>IFERROR(VLOOKUP(LO[[#This Row],[Descrição]],TabCategoria[],5,FALSE),"")</f>
        <v>Parcelamento Cartão de Crédito</v>
      </c>
      <c r="N205" s="102">
        <f>SUMIFS(TabCategoria[Meta Mês],TabCategoria[Categoria],LO[[#This Row],[CATEGORIA]])</f>
        <v>0</v>
      </c>
      <c r="O205" s="103">
        <f>SUMIFS(LO[Valor],LO[CATEGORIA],LO[[#This Row],[CATEGORIA]],LO[ANO],LO[[#This Row],[ANO]],LO[MÊS],LO[[#This Row],[MÊS]])
/COUNTIFS(LO[CATEGORIA],LO[[#This Row],[CATEGORIA]],LO[ANO],LO[[#This Row],[ANO]],LO[MÊS],LO[[#This Row],[MÊS]])</f>
        <v>332.42</v>
      </c>
      <c r="P205" s="102">
        <f>IF(
    SUMIFS(TabCategoria[Meta Mês],TabCategoria[Categoria],LO[[#This Row],[CATEGORIA]])
    -SUMIFS(LO[Valor],LO[CATEGORIA],LO[[#This Row],[CATEGORIA]],LO[ANO],LO[[#This Row],[ANO]],LO[MÊS],LO[[#This Row],[MÊS]])&lt;0,0,
    SUMIFS(TabCategoria[Meta Mês],TabCategoria[Categoria],LO[[#This Row],[CATEGORIA]])
    -SUMIFS(LO[Valor],LO[CATEGORIA],LO[[#This Row],[CATEGORIA]],LO[ANO],LO[[#This Row],[ANO]],LO[MÊS],LO[[#This Row],[MÊS]])
   )
/COUNTIFS(LO[CATEGORIA],LO[[#This Row],[CATEGORIA]],LO[ANO],LO[[#This Row],[ANO]],LO[MÊS],LO[[#This Row],[MÊS]])</f>
        <v>0</v>
      </c>
      <c r="Q205" s="102" t="str">
        <f>IFERROR(INDEX(TabInst[TIPO],MATCH(LO[[#This Row],[INSTITUIÇÃO]],TabInst[DESCRIÇÃO],0)),"")</f>
        <v/>
      </c>
      <c r="R205" s="102" t="str">
        <f>IFERROR(INDEX(TabInst[INSTITUIÇÃO],MATCH(LO[[#This Row],[INSTITUIÇÃO]],TabInst[DESCRIÇÃO],0)),"")</f>
        <v/>
      </c>
      <c r="S205" s="102" t="str">
        <f>PROPER(TEXT(LO[[#This Row],[DT Venc]],"MMM"))</f>
        <v>Jul</v>
      </c>
      <c r="T205" s="102">
        <f>YEAR(LO[[#This Row],[DT Venc]])</f>
        <v>2026</v>
      </c>
      <c r="U205" s="102" t="str">
        <f>IFERROR(VLOOKUP(LO[[#This Row],[CATEGORIA]],TabCategoria[],2,FALSE),"")</f>
        <v/>
      </c>
      <c r="V205" s="102" t="str">
        <f>IF(LO[[#This Row],[CONTA/CARTAO]]="Cartão","Cartão",IF(LO[[#This Row],[CATEGORIA]]="Pagamento de Cartão","Fatura",""))</f>
        <v/>
      </c>
      <c r="W205" s="102">
        <f>IF(LO[[#This Row],[Tipo]]="Receita",LO[[#This Row],[Valor]],IF(LO[[#This Row],[Tipo]]="Despesa",-LO[[#This Row],[Valor]],0))</f>
        <v>-430</v>
      </c>
    </row>
  </sheetData>
  <conditionalFormatting sqref="B8:I8 G27:G29 G24:G25 G18:G22 I9:I34 B32:E34 B9:G16 B17:F31 B46:E46 G56:G60 H47:I61 D55:F61 D47:G54 B46:B62 H62 D135:E142 F32:F46 B36:C45 B152:B160 B161:E163 D70:E84 B164:F181 H9:H42 B182:C198 D88:E101 B47:C101 F62:F160 E182:F205">
    <cfRule type="expression" dxfId="144" priority="213">
      <formula>AND($C8&lt;TODAY(),$H8="Previsto")</formula>
    </cfRule>
    <cfRule type="expression" dxfId="143" priority="220">
      <formula>$H8="Previsto"</formula>
    </cfRule>
  </conditionalFormatting>
  <conditionalFormatting sqref="E8:E205">
    <cfRule type="expression" dxfId="142" priority="216">
      <formula>OR($K8="Despesa",$U8="Envio Transf")</formula>
    </cfRule>
    <cfRule type="expression" dxfId="141" priority="219">
      <formula>OR($K8="Receita",$U8="Receb Transf")</formula>
    </cfRule>
  </conditionalFormatting>
  <conditionalFormatting sqref="G23 G61:G68 G70:G78 G82:G86 G99:G101 G32:G42 G94:G95">
    <cfRule type="expression" dxfId="140" priority="223">
      <formula>AND($C17&lt;TODAY(),$H17="Previsto")</formula>
    </cfRule>
    <cfRule type="expression" dxfId="139" priority="224">
      <formula>$H17="Previsto"</formula>
    </cfRule>
  </conditionalFormatting>
  <conditionalFormatting sqref="G17">
    <cfRule type="expression" dxfId="138" priority="211">
      <formula>AND($C11&lt;TODAY(),$H11="Previsto")</formula>
    </cfRule>
    <cfRule type="expression" dxfId="137" priority="212">
      <formula>$H11="Previsto"</formula>
    </cfRule>
  </conditionalFormatting>
  <conditionalFormatting sqref="G26">
    <cfRule type="expression" dxfId="136" priority="209">
      <formula>AND($C20&lt;TODAY(),$H20="Previsto")</formula>
    </cfRule>
    <cfRule type="expression" dxfId="135" priority="210">
      <formula>$H20="Previsto"</formula>
    </cfRule>
  </conditionalFormatting>
  <conditionalFormatting sqref="G30">
    <cfRule type="expression" dxfId="134" priority="207">
      <formula>AND($C24&lt;TODAY(),$H24="Previsto")</formula>
    </cfRule>
    <cfRule type="expression" dxfId="133" priority="208">
      <formula>$H24="Previsto"</formula>
    </cfRule>
  </conditionalFormatting>
  <conditionalFormatting sqref="G31">
    <cfRule type="expression" dxfId="132" priority="205">
      <formula>AND($C25&lt;TODAY(),$H25="Previsto")</formula>
    </cfRule>
    <cfRule type="expression" dxfId="131" priority="206">
      <formula>$H25="Previsto"</formula>
    </cfRule>
  </conditionalFormatting>
  <conditionalFormatting sqref="C35">
    <cfRule type="expression" dxfId="130" priority="203">
      <formula>AND($C35&lt;TODAY(),$H35="Previsto")</formula>
    </cfRule>
    <cfRule type="expression" dxfId="129" priority="204">
      <formula>$H35="Previsto"</formula>
    </cfRule>
  </conditionalFormatting>
  <conditionalFormatting sqref="B35">
    <cfRule type="expression" dxfId="128" priority="199">
      <formula>AND($C35&lt;TODAY(),$H35="Previsto")</formula>
    </cfRule>
    <cfRule type="expression" dxfId="127" priority="200">
      <formula>$H35="Previsto"</formula>
    </cfRule>
  </conditionalFormatting>
  <conditionalFormatting sqref="G55">
    <cfRule type="expression" dxfId="126" priority="195">
      <formula>AND($C49&lt;TODAY(),$H49="Previsto")</formula>
    </cfRule>
    <cfRule type="expression" dxfId="125" priority="196">
      <formula>$H49="Previsto"</formula>
    </cfRule>
  </conditionalFormatting>
  <conditionalFormatting sqref="G79 G43:G46 G177:G178 G88:G92">
    <cfRule type="expression" dxfId="124" priority="247">
      <formula>AND($C38&lt;TODAY(),$H38="Previsto")</formula>
    </cfRule>
    <cfRule type="expression" dxfId="123" priority="248">
      <formula>$H38="Previsto"</formula>
    </cfRule>
  </conditionalFormatting>
  <conditionalFormatting sqref="D103:E117">
    <cfRule type="expression" dxfId="122" priority="193">
      <formula>AND($C103&lt;TODAY(),$H103="Previsto")</formula>
    </cfRule>
    <cfRule type="expression" dxfId="121" priority="194">
      <formula>$H103="Previsto"</formula>
    </cfRule>
  </conditionalFormatting>
  <conditionalFormatting sqref="B102:C117">
    <cfRule type="expression" dxfId="120" priority="191">
      <formula>AND($C102&lt;TODAY(),$H102="Previsto")</formula>
    </cfRule>
    <cfRule type="expression" dxfId="119" priority="192">
      <formula>$H102="Previsto"</formula>
    </cfRule>
  </conditionalFormatting>
  <conditionalFormatting sqref="D119:E133">
    <cfRule type="expression" dxfId="118" priority="189">
      <formula>AND($C119&lt;TODAY(),$H119="Previsto")</formula>
    </cfRule>
    <cfRule type="expression" dxfId="117" priority="190">
      <formula>$H119="Previsto"</formula>
    </cfRule>
  </conditionalFormatting>
  <conditionalFormatting sqref="B118:C118">
    <cfRule type="expression" dxfId="116" priority="185">
      <formula>AND($C118&lt;TODAY(),$H118="Previsto")</formula>
    </cfRule>
    <cfRule type="expression" dxfId="115" priority="186">
      <formula>$H118="Previsto"</formula>
    </cfRule>
  </conditionalFormatting>
  <conditionalFormatting sqref="B119:C133">
    <cfRule type="expression" dxfId="114" priority="183">
      <formula>AND($C119&lt;TODAY(),$H119="Previsto")</formula>
    </cfRule>
    <cfRule type="expression" dxfId="113" priority="184">
      <formula>$H119="Previsto"</formula>
    </cfRule>
  </conditionalFormatting>
  <conditionalFormatting sqref="E112">
    <cfRule type="expression" dxfId="112" priority="181">
      <formula>AND($C112&lt;TODAY(),$H112="Previsto")</formula>
    </cfRule>
    <cfRule type="expression" dxfId="111" priority="182">
      <formula>$H112="Previsto"</formula>
    </cfRule>
  </conditionalFormatting>
  <conditionalFormatting sqref="E96">
    <cfRule type="expression" dxfId="110" priority="179">
      <formula>AND($C96&lt;TODAY(),$H96="Previsto")</formula>
    </cfRule>
    <cfRule type="expression" dxfId="109" priority="180">
      <formula>$H96="Previsto"</formula>
    </cfRule>
  </conditionalFormatting>
  <conditionalFormatting sqref="E79">
    <cfRule type="expression" dxfId="108" priority="177">
      <formula>AND($C79&lt;TODAY(),$H79="Previsto")</formula>
    </cfRule>
    <cfRule type="expression" dxfId="107" priority="178">
      <formula>$H79="Previsto"</formula>
    </cfRule>
  </conditionalFormatting>
  <conditionalFormatting sqref="B134:C134">
    <cfRule type="expression" dxfId="106" priority="169">
      <formula>AND($C134&lt;TODAY(),$H134="Previsto")</formula>
    </cfRule>
    <cfRule type="expression" dxfId="105" priority="170">
      <formula>$H134="Previsto"</formula>
    </cfRule>
  </conditionalFormatting>
  <conditionalFormatting sqref="B135:C142">
    <cfRule type="expression" dxfId="104" priority="167">
      <formula>AND($C135&lt;TODAY(),$H135="Previsto")</formula>
    </cfRule>
    <cfRule type="expression" dxfId="103" priority="168">
      <formula>$H135="Previsto"</formula>
    </cfRule>
  </conditionalFormatting>
  <conditionalFormatting sqref="D144:E151">
    <cfRule type="expression" dxfId="102" priority="165">
      <formula>AND($C144&lt;TODAY(),$H144="Previsto")</formula>
    </cfRule>
    <cfRule type="expression" dxfId="101" priority="166">
      <formula>$H144="Previsto"</formula>
    </cfRule>
  </conditionalFormatting>
  <conditionalFormatting sqref="B143:C143">
    <cfRule type="expression" dxfId="100" priority="159">
      <formula>AND($C143&lt;TODAY(),$H143="Previsto")</formula>
    </cfRule>
    <cfRule type="expression" dxfId="99" priority="160">
      <formula>$H143="Previsto"</formula>
    </cfRule>
  </conditionalFormatting>
  <conditionalFormatting sqref="B144:C151">
    <cfRule type="expression" dxfId="98" priority="157">
      <formula>AND($C144&lt;TODAY(),$H144="Previsto")</formula>
    </cfRule>
    <cfRule type="expression" dxfId="97" priority="158">
      <formula>$H144="Previsto"</formula>
    </cfRule>
  </conditionalFormatting>
  <conditionalFormatting sqref="D153:E160">
    <cfRule type="expression" dxfId="96" priority="153">
      <formula>AND($C153&lt;TODAY(),$H153="Previsto")</formula>
    </cfRule>
    <cfRule type="expression" dxfId="95" priority="154">
      <formula>$H153="Previsto"</formula>
    </cfRule>
  </conditionalFormatting>
  <conditionalFormatting sqref="C152:C160">
    <cfRule type="expression" dxfId="94" priority="151">
      <formula>AND($C152&lt;TODAY(),$H152="Previsto")</formula>
    </cfRule>
    <cfRule type="expression" dxfId="93" priority="152">
      <formula>$H152="Previsto"</formula>
    </cfRule>
  </conditionalFormatting>
  <conditionalFormatting sqref="G80">
    <cfRule type="expression" dxfId="92" priority="127">
      <formula>AND($C74&lt;TODAY(),$H74="Previsto")</formula>
    </cfRule>
    <cfRule type="expression" dxfId="91" priority="128">
      <formula>$H74="Previsto"</formula>
    </cfRule>
  </conditionalFormatting>
  <conditionalFormatting sqref="G81">
    <cfRule type="expression" dxfId="90" priority="125">
      <formula>AND($C75&lt;TODAY(),$H75="Previsto")</formula>
    </cfRule>
    <cfRule type="expression" dxfId="89" priority="126">
      <formula>$H75="Previsto"</formula>
    </cfRule>
  </conditionalFormatting>
  <conditionalFormatting sqref="G96">
    <cfRule type="expression" dxfId="88" priority="123">
      <formula>AND($C91&lt;TODAY(),$H91="Previsto")</formula>
    </cfRule>
    <cfRule type="expression" dxfId="87" priority="124">
      <formula>$H91="Previsto"</formula>
    </cfRule>
  </conditionalFormatting>
  <conditionalFormatting sqref="G97">
    <cfRule type="expression" dxfId="86" priority="121">
      <formula>AND($C91&lt;TODAY(),$H91="Previsto")</formula>
    </cfRule>
    <cfRule type="expression" dxfId="85" priority="122">
      <formula>$H91="Previsto"</formula>
    </cfRule>
  </conditionalFormatting>
  <conditionalFormatting sqref="G98">
    <cfRule type="expression" dxfId="84" priority="119">
      <formula>AND($C92&lt;TODAY(),$H92="Previsto")</formula>
    </cfRule>
    <cfRule type="expression" dxfId="83" priority="120">
      <formula>$H92="Previsto"</formula>
    </cfRule>
  </conditionalFormatting>
  <conditionalFormatting sqref="G103:G111 G115:G117">
    <cfRule type="expression" dxfId="82" priority="117">
      <formula>AND($C97&lt;TODAY(),$H97="Previsto")</formula>
    </cfRule>
    <cfRule type="expression" dxfId="81" priority="118">
      <formula>$H97="Previsto"</formula>
    </cfRule>
  </conditionalFormatting>
  <conditionalFormatting sqref="G112">
    <cfRule type="expression" dxfId="80" priority="115">
      <formula>AND($C107&lt;TODAY(),$H107="Previsto")</formula>
    </cfRule>
    <cfRule type="expression" dxfId="79" priority="116">
      <formula>$H107="Previsto"</formula>
    </cfRule>
  </conditionalFormatting>
  <conditionalFormatting sqref="G113">
    <cfRule type="expression" dxfId="78" priority="113">
      <formula>AND($C107&lt;TODAY(),$H107="Previsto")</formula>
    </cfRule>
    <cfRule type="expression" dxfId="77" priority="114">
      <formula>$H107="Previsto"</formula>
    </cfRule>
  </conditionalFormatting>
  <conditionalFormatting sqref="G114">
    <cfRule type="expression" dxfId="76" priority="111">
      <formula>AND($C108&lt;TODAY(),$H108="Previsto")</formula>
    </cfRule>
    <cfRule type="expression" dxfId="75" priority="112">
      <formula>$H108="Previsto"</formula>
    </cfRule>
  </conditionalFormatting>
  <conditionalFormatting sqref="G119:G127 G131:G133">
    <cfRule type="expression" dxfId="74" priority="109">
      <formula>AND($C113&lt;TODAY(),$H113="Previsto")</formula>
    </cfRule>
    <cfRule type="expression" dxfId="73" priority="110">
      <formula>$H113="Previsto"</formula>
    </cfRule>
  </conditionalFormatting>
  <conditionalFormatting sqref="G128">
    <cfRule type="expression" dxfId="72" priority="107">
      <formula>AND($C123&lt;TODAY(),$H123="Previsto")</formula>
    </cfRule>
    <cfRule type="expression" dxfId="71" priority="108">
      <formula>$H123="Previsto"</formula>
    </cfRule>
  </conditionalFormatting>
  <conditionalFormatting sqref="G129">
    <cfRule type="expression" dxfId="70" priority="105">
      <formula>AND($C123&lt;TODAY(),$H123="Previsto")</formula>
    </cfRule>
    <cfRule type="expression" dxfId="69" priority="106">
      <formula>$H123="Previsto"</formula>
    </cfRule>
  </conditionalFormatting>
  <conditionalFormatting sqref="G130">
    <cfRule type="expression" dxfId="68" priority="103">
      <formula>AND($C124&lt;TODAY(),$H124="Previsto")</formula>
    </cfRule>
    <cfRule type="expression" dxfId="67" priority="104">
      <formula>$H124="Previsto"</formula>
    </cfRule>
  </conditionalFormatting>
  <conditionalFormatting sqref="G135">
    <cfRule type="expression" dxfId="66" priority="101">
      <formula>AND($C129&lt;TODAY(),$H129="Previsto")</formula>
    </cfRule>
    <cfRule type="expression" dxfId="65" priority="102">
      <formula>$H129="Previsto"</formula>
    </cfRule>
  </conditionalFormatting>
  <conditionalFormatting sqref="G136">
    <cfRule type="expression" dxfId="64" priority="99">
      <formula>AND($C130&lt;TODAY(),$H130="Previsto")</formula>
    </cfRule>
    <cfRule type="expression" dxfId="63" priority="100">
      <formula>$H130="Previsto"</formula>
    </cfRule>
  </conditionalFormatting>
  <conditionalFormatting sqref="G144">
    <cfRule type="expression" dxfId="62" priority="97">
      <formula>AND($C138&lt;TODAY(),$H138="Previsto")</formula>
    </cfRule>
    <cfRule type="expression" dxfId="61" priority="98">
      <formula>$H138="Previsto"</formula>
    </cfRule>
  </conditionalFormatting>
  <conditionalFormatting sqref="G145">
    <cfRule type="expression" dxfId="60" priority="95">
      <formula>AND($C139&lt;TODAY(),$H139="Previsto")</formula>
    </cfRule>
    <cfRule type="expression" dxfId="59" priority="96">
      <formula>$H139="Previsto"</formula>
    </cfRule>
  </conditionalFormatting>
  <conditionalFormatting sqref="G153">
    <cfRule type="expression" dxfId="58" priority="93">
      <formula>AND($C147&lt;TODAY(),$H147="Previsto")</formula>
    </cfRule>
    <cfRule type="expression" dxfId="57" priority="94">
      <formula>$H147="Previsto"</formula>
    </cfRule>
  </conditionalFormatting>
  <conditionalFormatting sqref="G154">
    <cfRule type="expression" dxfId="56" priority="91">
      <formula>AND($C148&lt;TODAY(),$H148="Previsto")</formula>
    </cfRule>
    <cfRule type="expression" dxfId="55" priority="92">
      <formula>$H148="Previsto"</formula>
    </cfRule>
  </conditionalFormatting>
  <conditionalFormatting sqref="G164">
    <cfRule type="expression" dxfId="54" priority="43">
      <formula>AND($C159&lt;TODAY(),$H159="Previsto")</formula>
    </cfRule>
    <cfRule type="expression" dxfId="53" priority="44">
      <formula>$H159="Previsto"</formula>
    </cfRule>
  </conditionalFormatting>
  <conditionalFormatting sqref="G165">
    <cfRule type="expression" dxfId="52" priority="41">
      <formula>AND($C160&lt;TODAY(),$H160="Previsto")</formula>
    </cfRule>
    <cfRule type="expression" dxfId="51" priority="42">
      <formula>$H160="Previsto"</formula>
    </cfRule>
  </conditionalFormatting>
  <conditionalFormatting sqref="G166">
    <cfRule type="expression" dxfId="50" priority="39">
      <formula>AND($C161&lt;TODAY(),$H161="Previsto")</formula>
    </cfRule>
    <cfRule type="expression" dxfId="49" priority="40">
      <formula>$H161="Previsto"</formula>
    </cfRule>
  </conditionalFormatting>
  <conditionalFormatting sqref="G167">
    <cfRule type="expression" dxfId="48" priority="37">
      <formula>AND($C162&lt;TODAY(),$H162="Previsto")</formula>
    </cfRule>
    <cfRule type="expression" dxfId="47" priority="38">
      <formula>$H162="Previsto"</formula>
    </cfRule>
  </conditionalFormatting>
  <conditionalFormatting sqref="G168">
    <cfRule type="expression" dxfId="46" priority="35">
      <formula>AND($C163&lt;TODAY(),$H163="Previsto")</formula>
    </cfRule>
    <cfRule type="expression" dxfId="45" priority="36">
      <formula>$H163="Previsto"</formula>
    </cfRule>
  </conditionalFormatting>
  <conditionalFormatting sqref="G169">
    <cfRule type="expression" dxfId="44" priority="33">
      <formula>AND($C164&lt;TODAY(),$H164="Previsto")</formula>
    </cfRule>
    <cfRule type="expression" dxfId="43" priority="34">
      <formula>$H164="Previsto"</formula>
    </cfRule>
  </conditionalFormatting>
  <conditionalFormatting sqref="G170">
    <cfRule type="expression" dxfId="42" priority="31">
      <formula>AND($C165&lt;TODAY(),$H165="Previsto")</formula>
    </cfRule>
    <cfRule type="expression" dxfId="41" priority="32">
      <formula>$H165="Previsto"</formula>
    </cfRule>
  </conditionalFormatting>
  <conditionalFormatting sqref="G171">
    <cfRule type="expression" dxfId="40" priority="29">
      <formula>AND($C166&lt;TODAY(),$H166="Previsto")</formula>
    </cfRule>
    <cfRule type="expression" dxfId="39" priority="30">
      <formula>$H166="Previsto"</formula>
    </cfRule>
  </conditionalFormatting>
  <conditionalFormatting sqref="G172">
    <cfRule type="expression" dxfId="38" priority="27">
      <formula>AND($C167&lt;TODAY(),$H167="Previsto")</formula>
    </cfRule>
    <cfRule type="expression" dxfId="37" priority="28">
      <formula>$H167="Previsto"</formula>
    </cfRule>
  </conditionalFormatting>
  <conditionalFormatting sqref="G173">
    <cfRule type="expression" dxfId="36" priority="25">
      <formula>AND($C168&lt;TODAY(),$H168="Previsto")</formula>
    </cfRule>
    <cfRule type="expression" dxfId="35" priority="26">
      <formula>$H168="Previsto"</formula>
    </cfRule>
  </conditionalFormatting>
  <conditionalFormatting sqref="G174">
    <cfRule type="expression" dxfId="34" priority="23">
      <formula>AND($C169&lt;TODAY(),$H169="Previsto")</formula>
    </cfRule>
    <cfRule type="expression" dxfId="33" priority="24">
      <formula>$H169="Previsto"</formula>
    </cfRule>
  </conditionalFormatting>
  <conditionalFormatting sqref="G175">
    <cfRule type="expression" dxfId="32" priority="21">
      <formula>AND($C170&lt;TODAY(),$H170="Previsto")</formula>
    </cfRule>
    <cfRule type="expression" dxfId="31" priority="22">
      <formula>$H170="Previsto"</formula>
    </cfRule>
  </conditionalFormatting>
  <conditionalFormatting sqref="G176">
    <cfRule type="expression" dxfId="30" priority="19">
      <formula>AND($C171&lt;TODAY(),$H171="Previsto")</formula>
    </cfRule>
    <cfRule type="expression" dxfId="29" priority="20">
      <formula>$H171="Previsto"</formula>
    </cfRule>
  </conditionalFormatting>
  <conditionalFormatting sqref="E177">
    <cfRule type="expression" dxfId="28" priority="17">
      <formula>AND($C177&lt;TODAY(),$H177="Previsto")</formula>
    </cfRule>
    <cfRule type="expression" dxfId="27" priority="18">
      <formula>$H177="Previsto"</formula>
    </cfRule>
  </conditionalFormatting>
  <conditionalFormatting sqref="E178">
    <cfRule type="expression" dxfId="26" priority="15">
      <formula>AND($C178&lt;TODAY(),$H178="Previsto")</formula>
    </cfRule>
    <cfRule type="expression" dxfId="25" priority="16">
      <formula>$H178="Previsto"</formula>
    </cfRule>
  </conditionalFormatting>
  <conditionalFormatting sqref="C199">
    <cfRule type="expression" dxfId="24" priority="13">
      <formula>AND($C199&lt;TODAY(),$H199="Previsto")</formula>
    </cfRule>
    <cfRule type="expression" dxfId="23" priority="14">
      <formula>$H199="Previsto"</formula>
    </cfRule>
  </conditionalFormatting>
  <conditionalFormatting sqref="G93">
    <cfRule type="expression" dxfId="22" priority="267">
      <formula>AND(#REF!&lt;TODAY(),#REF!="Previsto")</formula>
    </cfRule>
    <cfRule type="expression" dxfId="21" priority="268">
      <formula>#REF!="Previsto"</formula>
    </cfRule>
  </conditionalFormatting>
  <conditionalFormatting sqref="C200">
    <cfRule type="expression" dxfId="20" priority="11">
      <formula>AND($C200&lt;TODAY(),$H200="Previsto")</formula>
    </cfRule>
    <cfRule type="expression" dxfId="19" priority="12">
      <formula>$H200="Previsto"</formula>
    </cfRule>
  </conditionalFormatting>
  <conditionalFormatting sqref="C201">
    <cfRule type="expression" dxfId="18" priority="9">
      <formula>AND($C201&lt;TODAY(),$H201="Previsto")</formula>
    </cfRule>
    <cfRule type="expression" dxfId="17" priority="10">
      <formula>$H201="Previsto"</formula>
    </cfRule>
  </conditionalFormatting>
  <conditionalFormatting sqref="C202">
    <cfRule type="expression" dxfId="16" priority="7">
      <formula>AND($C202&lt;TODAY(),$H202="Previsto")</formula>
    </cfRule>
    <cfRule type="expression" dxfId="15" priority="8">
      <formula>$H202="Previsto"</formula>
    </cfRule>
  </conditionalFormatting>
  <conditionalFormatting sqref="C203">
    <cfRule type="expression" dxfId="14" priority="5">
      <formula>AND($C203&lt;TODAY(),$H203="Previsto")</formula>
    </cfRule>
    <cfRule type="expression" dxfId="13" priority="6">
      <formula>$H203="Previsto"</formula>
    </cfRule>
  </conditionalFormatting>
  <conditionalFormatting sqref="C204:C205">
    <cfRule type="expression" dxfId="3" priority="3">
      <formula>AND($C204&lt;TODAY(),$H204="Previsto")</formula>
    </cfRule>
    <cfRule type="expression" dxfId="2" priority="4">
      <formula>$H204="Previsto"</formula>
    </cfRule>
  </conditionalFormatting>
  <conditionalFormatting sqref="B199:B205">
    <cfRule type="expression" dxfId="1" priority="1">
      <formula>AND($C199&lt;TODAY(),$H199="Previsto")</formula>
    </cfRule>
    <cfRule type="expression" dxfId="0" priority="2">
      <formula>$H199="Previsto"</formula>
    </cfRule>
  </conditionalFormatting>
  <dataValidations count="5">
    <dataValidation type="list" allowBlank="1" showInputMessage="1" showErrorMessage="1" sqref="G70:G86 G103:G117 G8:G68 G119:G178 G88:G101" xr:uid="{EAF66A47-72A8-4FF6-A7EB-D70FB286F383}">
      <formula1>ListaPessoas</formula1>
    </dataValidation>
    <dataValidation type="date" allowBlank="1" showInputMessage="1" showErrorMessage="1" error="Digite uma data válida, a partir de 5 ano atrás, e até daqui a 5 anos" sqref="B8:C205" xr:uid="{BEAB8CB2-FBB3-43F3-B7F2-1A926C92406C}">
      <formula1>TODAY()-5*365</formula1>
      <formula2>TODAY()+5*365</formula2>
    </dataValidation>
    <dataValidation type="list" allowBlank="1" showInputMessage="1" showErrorMessage="1" sqref="D8:D205" xr:uid="{00D8AF57-8314-4A1F-8C98-C48E4CE99B8E}">
      <formula1>ListaCategoria</formula1>
    </dataValidation>
    <dataValidation type="list" allowBlank="1" showInputMessage="1" showErrorMessage="1" sqref="H8:H205" xr:uid="{55D0315E-3E69-42AE-8846-9F901F16EB7D}">
      <formula1>"Realizado,Previsto"</formula1>
    </dataValidation>
    <dataValidation type="list" allowBlank="1" showInputMessage="1" showErrorMessage="1" sqref="F8:F205" xr:uid="{D52C4768-51F5-48E6-8930-0C306C478970}">
      <formula1>ListaInst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5AF4-10CA-4F97-BEF6-DA80DD084E5A}">
  <sheetPr codeName="Planilha4"/>
  <dimension ref="A1:R8"/>
  <sheetViews>
    <sheetView showGridLines="0" zoomScaleNormal="100" workbookViewId="0">
      <pane ySplit="7" topLeftCell="A8" activePane="bottomLeft" state="frozen"/>
      <selection pane="bottomLeft"/>
    </sheetView>
  </sheetViews>
  <sheetFormatPr defaultRowHeight="14.4" x14ac:dyDescent="0.3"/>
  <cols>
    <col min="1" max="1" width="1.6640625" customWidth="1"/>
    <col min="2" max="2" width="11.6640625" customWidth="1"/>
    <col min="3" max="3" width="6.6640625" customWidth="1"/>
    <col min="4" max="4" width="8.5546875" customWidth="1"/>
    <col min="5" max="5" width="24" customWidth="1"/>
    <col min="6" max="6" width="10.6640625" customWidth="1"/>
    <col min="7" max="7" width="1.6640625" customWidth="1"/>
    <col min="8" max="8" width="20.44140625" customWidth="1"/>
    <col min="9" max="9" width="12.6640625" customWidth="1"/>
    <col min="10" max="10" width="13.88671875" bestFit="1" customWidth="1"/>
    <col min="11" max="11" width="11.88671875" customWidth="1"/>
    <col min="12" max="12" width="1.6640625" customWidth="1"/>
    <col min="13" max="13" width="28.88671875" bestFit="1" customWidth="1"/>
    <col min="14" max="14" width="9.5546875" customWidth="1"/>
    <col min="15" max="15" width="11.5546875" customWidth="1"/>
    <col min="16" max="16" width="14" customWidth="1"/>
  </cols>
  <sheetData>
    <row r="1" spans="1:18" ht="45.75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</row>
    <row r="2" spans="1:18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ht="24.9" customHeight="1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 ht="33.450000000000003" customHeight="1" x14ac:dyDescent="0.3">
      <c r="A7" s="12"/>
      <c r="B7" s="14" t="s">
        <v>201</v>
      </c>
      <c r="C7" s="15" t="s">
        <v>202</v>
      </c>
      <c r="D7" s="15" t="s">
        <v>203</v>
      </c>
      <c r="E7" s="14" t="s">
        <v>204</v>
      </c>
      <c r="F7" s="14" t="s">
        <v>186</v>
      </c>
      <c r="G7" s="12"/>
      <c r="H7" s="14" t="s">
        <v>208</v>
      </c>
      <c r="I7" s="14" t="s">
        <v>186</v>
      </c>
      <c r="J7" s="14" t="s">
        <v>209</v>
      </c>
      <c r="K7" s="42" t="s">
        <v>251</v>
      </c>
      <c r="L7" s="12"/>
      <c r="M7" s="14" t="s">
        <v>210</v>
      </c>
      <c r="N7" s="15" t="s">
        <v>224</v>
      </c>
      <c r="O7" s="15" t="s">
        <v>214</v>
      </c>
      <c r="P7" s="14" t="s">
        <v>209</v>
      </c>
      <c r="Q7" s="1"/>
      <c r="R7" s="1"/>
    </row>
    <row r="8" spans="1:18" x14ac:dyDescent="0.3">
      <c r="F8" s="20"/>
      <c r="I8" s="28"/>
      <c r="J8" s="28"/>
      <c r="K8" s="17"/>
      <c r="N8" s="13"/>
      <c r="O8" s="28"/>
      <c r="P8" s="17"/>
    </row>
  </sheetData>
  <dataValidations count="2">
    <dataValidation type="list" allowBlank="1" showInputMessage="1" showErrorMessage="1" sqref="C8" xr:uid="{897F0DEC-63B6-4A40-A547-79EF3A3788A7}">
      <formula1>"Fix, Var"</formula1>
    </dataValidation>
    <dataValidation type="list" allowBlank="1" showInputMessage="1" showErrorMessage="1" sqref="D8" xr:uid="{4396BE1F-5CF3-4051-9CE4-678C95A65B73}">
      <formula1>"Reserva, Médio, Longo, Curto, Aposen"</formula1>
    </dataValidation>
  </dataValidation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CA68-95FE-4A68-B45A-2DB81D4C7D3F}">
  <sheetPr codeName="Planilha5"/>
  <dimension ref="A1:N13"/>
  <sheetViews>
    <sheetView showGridLines="0" zoomScaleNormal="100" workbookViewId="0">
      <pane ySplit="7" topLeftCell="A8" activePane="bottomLeft" state="frozen"/>
      <selection pane="bottomLeft" activeCell="H35" sqref="H35"/>
    </sheetView>
  </sheetViews>
  <sheetFormatPr defaultRowHeight="14.4" x14ac:dyDescent="0.3"/>
  <cols>
    <col min="1" max="1" width="1.6640625" customWidth="1"/>
    <col min="2" max="2" width="27.33203125" customWidth="1"/>
    <col min="3" max="3" width="18.88671875" customWidth="1"/>
    <col min="4" max="4" width="14.33203125" customWidth="1"/>
    <col min="6" max="7" width="5.6640625" customWidth="1"/>
    <col min="8" max="13" width="15.6640625" customWidth="1"/>
  </cols>
  <sheetData>
    <row r="1" spans="1:14" ht="45.75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14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</row>
    <row r="4" spans="1:14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</row>
    <row r="5" spans="1:14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</row>
    <row r="6" spans="1:14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</row>
    <row r="7" spans="1:14" ht="15.6" x14ac:dyDescent="0.3">
      <c r="A7" s="1"/>
      <c r="B7" s="14" t="s">
        <v>211</v>
      </c>
      <c r="C7" s="14" t="s">
        <v>186</v>
      </c>
      <c r="D7" s="14" t="s">
        <v>212</v>
      </c>
      <c r="E7" s="42" t="s">
        <v>247</v>
      </c>
      <c r="F7" s="12"/>
      <c r="G7" s="12"/>
      <c r="H7" s="32" t="s">
        <v>237</v>
      </c>
      <c r="I7" s="36">
        <v>6</v>
      </c>
      <c r="J7" s="12"/>
      <c r="K7" s="12"/>
      <c r="L7" s="12"/>
      <c r="M7" s="12"/>
      <c r="N7" s="12"/>
    </row>
    <row r="8" spans="1:14" x14ac:dyDescent="0.3">
      <c r="B8" t="s">
        <v>285</v>
      </c>
      <c r="C8" s="35">
        <v>30000</v>
      </c>
      <c r="D8" s="14">
        <v>2028</v>
      </c>
      <c r="E8" s="41" t="str">
        <f ca="1">IFERROR(VLOOKUP(TabProj[[#This Row],[Ano]],ClassProj,2,0),"")</f>
        <v>Médio</v>
      </c>
      <c r="F8" s="12"/>
      <c r="G8" s="12"/>
      <c r="H8" s="12"/>
      <c r="I8" s="60" t="s">
        <v>254</v>
      </c>
      <c r="J8" s="12"/>
      <c r="K8" s="12"/>
      <c r="L8" s="12"/>
      <c r="M8" s="12"/>
      <c r="N8" s="12"/>
    </row>
    <row r="9" spans="1:14" x14ac:dyDescent="0.3">
      <c r="F9" s="12"/>
      <c r="G9" s="12"/>
      <c r="H9" s="12"/>
      <c r="I9" s="38" t="s">
        <v>238</v>
      </c>
      <c r="J9" s="39" t="s">
        <v>239</v>
      </c>
      <c r="K9" s="39" t="s">
        <v>240</v>
      </c>
      <c r="L9" s="39" t="s">
        <v>241</v>
      </c>
      <c r="M9" s="40" t="s">
        <v>242</v>
      </c>
      <c r="N9" s="12"/>
    </row>
    <row r="10" spans="1:14" x14ac:dyDescent="0.3">
      <c r="F10" s="12"/>
      <c r="G10" s="12"/>
      <c r="H10" s="37" t="s">
        <v>243</v>
      </c>
      <c r="I10" s="44">
        <f>OrcamentoMensal*I7</f>
        <v>0</v>
      </c>
      <c r="J10" s="45">
        <f ca="1">SUMIF(TabProj[Prazo (Autom.)],J9,TabProj[Valor])</f>
        <v>0</v>
      </c>
      <c r="K10" s="45">
        <f ca="1">SUMIF(TabProj[Prazo (Autom.)],K9,TabProj[Valor])</f>
        <v>30000</v>
      </c>
      <c r="L10" s="45">
        <f ca="1">SUMIF(TabProj[Prazo (Autom.)],L9,TabProj[Valor])</f>
        <v>0</v>
      </c>
      <c r="M10" s="46"/>
      <c r="N10" s="12"/>
    </row>
    <row r="11" spans="1:14" x14ac:dyDescent="0.3">
      <c r="F11" s="12"/>
      <c r="G11" s="12"/>
      <c r="H11" s="37" t="s">
        <v>244</v>
      </c>
      <c r="I11" s="47">
        <f>SUMIF(TabAAF[Prazo Projeto],I9,TabAAF[Valor])</f>
        <v>0</v>
      </c>
      <c r="J11" s="48">
        <f>SUMIF(TabAAF[Prazo Projeto],J9,TabAAF[Valor])</f>
        <v>0</v>
      </c>
      <c r="K11" s="48">
        <f>SUMIF(TabAAF[Prazo Projeto],K9,TabAAF[Valor])</f>
        <v>0</v>
      </c>
      <c r="L11" s="48">
        <f>SUMIF(TabAAF[Prazo Projeto],L9,TabAAF[Valor])</f>
        <v>0</v>
      </c>
      <c r="M11" s="49">
        <f>SUMIF(TabAAF[Prazo Projeto],M9,TabAAF[Valor])</f>
        <v>0</v>
      </c>
      <c r="N11" s="12"/>
    </row>
    <row r="12" spans="1:14" x14ac:dyDescent="0.3">
      <c r="F12" s="12"/>
      <c r="G12" s="12"/>
      <c r="H12" s="33" t="s">
        <v>245</v>
      </c>
      <c r="I12" s="34">
        <f>IF(ISERROR(I11/I10),0,I11/I10)</f>
        <v>0</v>
      </c>
      <c r="J12" s="34">
        <f t="shared" ref="J12:M12" ca="1" si="0">IF(ISERROR(J11/J10),0,J11/J10)</f>
        <v>0</v>
      </c>
      <c r="K12" s="34">
        <f t="shared" ca="1" si="0"/>
        <v>0</v>
      </c>
      <c r="L12" s="34">
        <f t="shared" ca="1" si="0"/>
        <v>0</v>
      </c>
      <c r="M12" s="57">
        <f t="shared" si="0"/>
        <v>0</v>
      </c>
      <c r="N12" s="12"/>
    </row>
    <row r="13" spans="1:14" x14ac:dyDescent="0.3">
      <c r="F13" s="12"/>
      <c r="G13" s="12"/>
      <c r="H13" s="43" t="s">
        <v>248</v>
      </c>
      <c r="I13" s="43">
        <f>IF(I12&gt;1,0,1-I12)</f>
        <v>1</v>
      </c>
      <c r="J13" s="43">
        <f t="shared" ref="J13:M13" ca="1" si="1">IF(J12&gt;1,0,1-J12)</f>
        <v>1</v>
      </c>
      <c r="K13" s="43">
        <f t="shared" ca="1" si="1"/>
        <v>1</v>
      </c>
      <c r="L13" s="43">
        <f t="shared" ca="1" si="1"/>
        <v>1</v>
      </c>
      <c r="M13" s="43">
        <f t="shared" si="1"/>
        <v>1</v>
      </c>
      <c r="N13" s="1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8ACF6-96C8-4B89-A38E-4523EBD64282}">
  <sheetPr codeName="Planilha6"/>
  <dimension ref="A1:U7"/>
  <sheetViews>
    <sheetView showGridLines="0" zoomScaleNormal="100" workbookViewId="0">
      <pane ySplit="6" topLeftCell="A7" activePane="bottomLeft" state="frozen"/>
      <selection activeCell="D35" sqref="D35"/>
      <selection pane="bottomLeft" activeCell="D35" sqref="D35"/>
    </sheetView>
  </sheetViews>
  <sheetFormatPr defaultRowHeight="14.4" x14ac:dyDescent="0.3"/>
  <cols>
    <col min="1" max="1" width="1.6640625" customWidth="1"/>
    <col min="2" max="2" width="15" customWidth="1"/>
    <col min="3" max="3" width="10.88671875" customWidth="1"/>
    <col min="4" max="4" width="17.6640625" customWidth="1"/>
    <col min="5" max="5" width="50.6640625" customWidth="1"/>
    <col min="6" max="6" width="2.6640625" customWidth="1"/>
    <col min="7" max="7" width="12.5546875" customWidth="1"/>
    <col min="8" max="8" width="15.6640625" customWidth="1"/>
    <col min="9" max="9" width="10.109375" customWidth="1"/>
    <col min="10" max="10" width="10.6640625" customWidth="1"/>
  </cols>
  <sheetData>
    <row r="1" spans="1:21" ht="45.75" customHeight="1" x14ac:dyDescent="0.3">
      <c r="O1" s="12"/>
      <c r="P1" s="12"/>
      <c r="Q1" s="12"/>
      <c r="R1" s="12"/>
      <c r="S1" s="12"/>
      <c r="T1" s="12"/>
      <c r="U1" s="12"/>
    </row>
    <row r="2" spans="1:2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</row>
    <row r="3" spans="1:2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1" x14ac:dyDescent="0.3">
      <c r="A5" s="12"/>
      <c r="B5" s="21" t="s">
        <v>215</v>
      </c>
      <c r="C5" s="22"/>
      <c r="D5" s="22"/>
      <c r="E5" s="22"/>
      <c r="F5" s="1"/>
      <c r="G5" s="23" t="s">
        <v>216</v>
      </c>
      <c r="H5" s="24"/>
      <c r="I5" s="24"/>
      <c r="J5" s="25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1" x14ac:dyDescent="0.3">
      <c r="A6" s="12"/>
      <c r="B6" s="26" t="s">
        <v>217</v>
      </c>
      <c r="C6" s="26" t="s">
        <v>218</v>
      </c>
      <c r="D6" s="26" t="s">
        <v>219</v>
      </c>
      <c r="E6" s="26" t="s">
        <v>220</v>
      </c>
      <c r="F6" s="1"/>
      <c r="G6" s="26" t="s">
        <v>221</v>
      </c>
      <c r="H6" s="26" t="s">
        <v>180</v>
      </c>
      <c r="I6" s="26" t="s">
        <v>219</v>
      </c>
      <c r="J6" s="26" t="s">
        <v>186</v>
      </c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1" x14ac:dyDescent="0.3">
      <c r="B7" s="50"/>
      <c r="G7" s="54"/>
      <c r="J7" s="55"/>
    </row>
  </sheetData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792D9-7A17-40E9-BCE2-C3E3AEC47473}">
  <sheetPr codeName="Planilha7"/>
  <dimension ref="A1:S168"/>
  <sheetViews>
    <sheetView showGridLines="0" zoomScaleNormal="100" workbookViewId="0">
      <pane ySplit="6" topLeftCell="A67" activePane="bottomLeft" state="frozen"/>
      <selection pane="bottomLeft" activeCell="F168" sqref="F168"/>
    </sheetView>
  </sheetViews>
  <sheetFormatPr defaultRowHeight="14.4" x14ac:dyDescent="0.3"/>
  <cols>
    <col min="1" max="1" width="1.6640625" customWidth="1"/>
    <col min="2" max="2" width="18.6640625" hidden="1" customWidth="1"/>
    <col min="3" max="3" width="18.6640625" customWidth="1"/>
    <col min="5" max="6" width="26" customWidth="1"/>
    <col min="7" max="7" width="10.6640625" customWidth="1"/>
    <col min="8" max="8" width="2.6640625" customWidth="1"/>
    <col min="9" max="9" width="14.5546875" customWidth="1"/>
    <col min="11" max="11" width="12.5546875" customWidth="1"/>
    <col min="12" max="12" width="13.6640625" customWidth="1"/>
    <col min="13" max="13" width="13.109375" hidden="1" customWidth="1"/>
    <col min="14" max="14" width="2.6640625" customWidth="1"/>
    <col min="15" max="15" width="12.6640625" customWidth="1"/>
    <col min="16" max="16" width="2.6640625" customWidth="1"/>
    <col min="17" max="17" width="8.6640625" customWidth="1"/>
    <col min="19" max="19" width="13.109375" customWidth="1"/>
  </cols>
  <sheetData>
    <row r="1" spans="1:19" ht="45.75" customHeight="1" x14ac:dyDescent="0.3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</row>
    <row r="2" spans="1:19" ht="15.6" x14ac:dyDescent="0.3">
      <c r="A2" s="12"/>
      <c r="B2" s="12"/>
      <c r="C2" s="12"/>
      <c r="D2" s="12"/>
      <c r="E2" s="12"/>
      <c r="F2" s="58" t="s">
        <v>252</v>
      </c>
      <c r="G2" s="59">
        <f>SUMIF(TabCategoria[Tipo],"RECEITA",TabCategoria[Meta Mês])</f>
        <v>0</v>
      </c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1:19" ht="15" customHeight="1" x14ac:dyDescent="0.3">
      <c r="A3" s="12"/>
      <c r="B3" s="12"/>
      <c r="C3" s="12"/>
      <c r="D3" s="12"/>
      <c r="E3" s="12"/>
      <c r="F3" s="58" t="s">
        <v>253</v>
      </c>
      <c r="G3" s="59">
        <f>SUMIF(TabCategoria[Tipo],"DESPESA",TabCategoria[Meta Mês])</f>
        <v>0</v>
      </c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</row>
    <row r="4" spans="1:19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</row>
    <row r="5" spans="1:19" x14ac:dyDescent="0.3">
      <c r="A5" s="1"/>
      <c r="B5" s="2"/>
      <c r="C5" s="3" t="s">
        <v>0</v>
      </c>
      <c r="D5" s="2"/>
      <c r="E5" s="2"/>
      <c r="F5" s="4"/>
      <c r="G5" s="5"/>
      <c r="H5" s="1"/>
      <c r="I5" s="6" t="s">
        <v>1</v>
      </c>
      <c r="J5" s="7"/>
      <c r="K5" s="7"/>
      <c r="L5" s="7"/>
      <c r="M5" s="7"/>
      <c r="N5" s="1"/>
      <c r="O5" s="3" t="s">
        <v>2</v>
      </c>
      <c r="P5" s="1"/>
      <c r="Q5" s="3" t="s">
        <v>3</v>
      </c>
      <c r="R5" s="8"/>
      <c r="S5" s="8"/>
    </row>
    <row r="6" spans="1:19" x14ac:dyDescent="0.3">
      <c r="A6" s="1"/>
      <c r="B6" s="9" t="s">
        <v>4</v>
      </c>
      <c r="C6" s="10" t="s">
        <v>5</v>
      </c>
      <c r="D6" s="10" t="s">
        <v>6</v>
      </c>
      <c r="E6" s="10" t="s">
        <v>7</v>
      </c>
      <c r="F6" s="10" t="s">
        <v>8</v>
      </c>
      <c r="G6" s="10" t="s">
        <v>9</v>
      </c>
      <c r="H6" s="1"/>
      <c r="I6" s="10" t="s">
        <v>10</v>
      </c>
      <c r="J6" s="10" t="s">
        <v>11</v>
      </c>
      <c r="K6" s="10" t="s">
        <v>12</v>
      </c>
      <c r="L6" s="10" t="s">
        <v>13</v>
      </c>
      <c r="M6" s="10" t="s">
        <v>14</v>
      </c>
      <c r="N6" s="1"/>
      <c r="O6" s="1" t="s">
        <v>249</v>
      </c>
      <c r="P6" s="1"/>
      <c r="Q6" s="19" t="s">
        <v>15</v>
      </c>
      <c r="R6" s="19" t="s">
        <v>16</v>
      </c>
      <c r="S6" s="19" t="s">
        <v>14</v>
      </c>
    </row>
    <row r="7" spans="1:19" x14ac:dyDescent="0.3">
      <c r="B7" t="str">
        <f>UPPER(TabCategoria[[#This Row],[Categoria]])&amp;" - "&amp;TabCategoria[[#This Row],[Subcategoria]]</f>
        <v>RENDA PRINCIPAL - Salário Principal</v>
      </c>
      <c r="C7" t="s">
        <v>17</v>
      </c>
      <c r="D7" t="s">
        <v>18</v>
      </c>
      <c r="E7" t="s">
        <v>19</v>
      </c>
      <c r="F7" t="s">
        <v>20</v>
      </c>
      <c r="G7" s="51"/>
      <c r="K7" s="16"/>
      <c r="L7" s="16"/>
      <c r="O7" s="9"/>
      <c r="Q7" s="14">
        <v>0</v>
      </c>
      <c r="R7" s="30">
        <v>45848</v>
      </c>
      <c r="S7" s="14" t="s">
        <v>213</v>
      </c>
    </row>
    <row r="8" spans="1:19" x14ac:dyDescent="0.3">
      <c r="B8" t="str">
        <f>UPPER(TabCategoria[[#This Row],[Categoria]])&amp;" - "&amp;TabCategoria[[#This Row],[Subcategoria]]</f>
        <v>RENDA PRINCIPAL - Bônus Principal</v>
      </c>
      <c r="C8" t="s">
        <v>17</v>
      </c>
      <c r="D8" t="s">
        <v>18</v>
      </c>
      <c r="E8" t="s">
        <v>19</v>
      </c>
      <c r="F8" t="s">
        <v>21</v>
      </c>
      <c r="G8" s="51"/>
    </row>
    <row r="9" spans="1:19" x14ac:dyDescent="0.3">
      <c r="B9" t="str">
        <f>UPPER(TabCategoria[[#This Row],[Categoria]])&amp;" - "&amp;TabCategoria[[#This Row],[Subcategoria]]</f>
        <v>RENDA PRINCIPAL - Participação de Lucros Principal</v>
      </c>
      <c r="C9" t="s">
        <v>17</v>
      </c>
      <c r="D9" t="s">
        <v>18</v>
      </c>
      <c r="E9" t="s">
        <v>19</v>
      </c>
      <c r="F9" t="s">
        <v>22</v>
      </c>
      <c r="G9" s="51"/>
    </row>
    <row r="10" spans="1:19" x14ac:dyDescent="0.3">
      <c r="B10" t="str">
        <f>UPPER(TabCategoria[[#This Row],[Categoria]])&amp;" - "&amp;TabCategoria[[#This Row],[Subcategoria]]</f>
        <v>RENDA PRINCIPAL - Horas extras / Comissões Principal</v>
      </c>
      <c r="C10" t="s">
        <v>17</v>
      </c>
      <c r="D10" t="s">
        <v>18</v>
      </c>
      <c r="E10" t="s">
        <v>19</v>
      </c>
      <c r="F10" t="s">
        <v>23</v>
      </c>
      <c r="G10" s="51"/>
    </row>
    <row r="11" spans="1:19" x14ac:dyDescent="0.3">
      <c r="B11" t="str">
        <f>UPPER(TabCategoria[[#This Row],[Categoria]])&amp;" - "&amp;TabCategoria[[#This Row],[Subcategoria]]</f>
        <v>RENDA PRINCIPAL - 13º Salário Principal</v>
      </c>
      <c r="C11" t="s">
        <v>17</v>
      </c>
      <c r="D11" t="s">
        <v>18</v>
      </c>
      <c r="E11" t="s">
        <v>19</v>
      </c>
      <c r="F11" t="s">
        <v>24</v>
      </c>
      <c r="G11" s="51"/>
    </row>
    <row r="12" spans="1:19" x14ac:dyDescent="0.3">
      <c r="B12" t="str">
        <f>UPPER(TabCategoria[[#This Row],[Categoria]])&amp;" - "&amp;TabCategoria[[#This Row],[Subcategoria]]</f>
        <v>RENDA PRINCIPAL - Férias Bruto Principal</v>
      </c>
      <c r="C12" t="s">
        <v>17</v>
      </c>
      <c r="D12" t="s">
        <v>18</v>
      </c>
      <c r="E12" t="s">
        <v>19</v>
      </c>
      <c r="F12" t="s">
        <v>25</v>
      </c>
      <c r="G12" s="51"/>
    </row>
    <row r="13" spans="1:19" x14ac:dyDescent="0.3">
      <c r="B13" t="str">
        <f>UPPER(TabCategoria[[#This Row],[Categoria]])&amp;" - "&amp;TabCategoria[[#This Row],[Subcategoria]]</f>
        <v>RENDA CÔNJUGE - Salário Cônjuge</v>
      </c>
      <c r="C13" t="s">
        <v>17</v>
      </c>
      <c r="D13" t="s">
        <v>18</v>
      </c>
      <c r="E13" t="s">
        <v>26</v>
      </c>
      <c r="F13" t="s">
        <v>27</v>
      </c>
      <c r="G13" s="51"/>
    </row>
    <row r="14" spans="1:19" x14ac:dyDescent="0.3">
      <c r="B14" t="str">
        <f>UPPER(TabCategoria[[#This Row],[Categoria]])&amp;" - "&amp;TabCategoria[[#This Row],[Subcategoria]]</f>
        <v>RENDA CÔNJUGE - Bônus Cônjuge</v>
      </c>
      <c r="C14" t="s">
        <v>17</v>
      </c>
      <c r="D14" t="s">
        <v>18</v>
      </c>
      <c r="E14" t="s">
        <v>26</v>
      </c>
      <c r="F14" t="s">
        <v>28</v>
      </c>
      <c r="G14" s="51"/>
    </row>
    <row r="15" spans="1:19" x14ac:dyDescent="0.3">
      <c r="B15" t="str">
        <f>UPPER(TabCategoria[[#This Row],[Categoria]])&amp;" - "&amp;TabCategoria[[#This Row],[Subcategoria]]</f>
        <v>RENDA CÔNJUGE - Participação nos Lucros Cônjuge</v>
      </c>
      <c r="C15" t="s">
        <v>17</v>
      </c>
      <c r="D15" t="s">
        <v>18</v>
      </c>
      <c r="E15" t="s">
        <v>26</v>
      </c>
      <c r="F15" t="s">
        <v>29</v>
      </c>
      <c r="G15" s="51"/>
    </row>
    <row r="16" spans="1:19" x14ac:dyDescent="0.3">
      <c r="B16" t="str">
        <f>UPPER(TabCategoria[[#This Row],[Categoria]])&amp;" - "&amp;TabCategoria[[#This Row],[Subcategoria]]</f>
        <v>RENDA CÔNJUGE - Horas extras / Comissões Cônjuge</v>
      </c>
      <c r="C16" t="s">
        <v>17</v>
      </c>
      <c r="D16" t="s">
        <v>18</v>
      </c>
      <c r="E16" t="s">
        <v>26</v>
      </c>
      <c r="F16" t="s">
        <v>30</v>
      </c>
      <c r="G16" s="51"/>
    </row>
    <row r="17" spans="2:7" x14ac:dyDescent="0.3">
      <c r="B17" t="str">
        <f>UPPER(TabCategoria[[#This Row],[Categoria]])&amp;" - "&amp;TabCategoria[[#This Row],[Subcategoria]]</f>
        <v>RENDA CÔNJUGE - 13º Salário Cônjuge</v>
      </c>
      <c r="C17" t="s">
        <v>17</v>
      </c>
      <c r="D17" t="s">
        <v>18</v>
      </c>
      <c r="E17" t="s">
        <v>26</v>
      </c>
      <c r="F17" t="s">
        <v>31</v>
      </c>
      <c r="G17" s="51"/>
    </row>
    <row r="18" spans="2:7" x14ac:dyDescent="0.3">
      <c r="B18" t="str">
        <f>UPPER(TabCategoria[[#This Row],[Categoria]])&amp;" - "&amp;TabCategoria[[#This Row],[Subcategoria]]</f>
        <v>RENDA CÔNJUGE - Férias Bruto Cônjuge</v>
      </c>
      <c r="C18" t="s">
        <v>17</v>
      </c>
      <c r="D18" t="s">
        <v>18</v>
      </c>
      <c r="E18" t="s">
        <v>26</v>
      </c>
      <c r="F18" t="s">
        <v>32</v>
      </c>
      <c r="G18" s="51"/>
    </row>
    <row r="19" spans="2:7" x14ac:dyDescent="0.3">
      <c r="B19" t="str">
        <f>UPPER(TabCategoria[[#This Row],[Categoria]])&amp;" - "&amp;TabCategoria[[#This Row],[Subcategoria]]</f>
        <v>RENDA EXTRA - VT / VR / VA</v>
      </c>
      <c r="C19" t="s">
        <v>17</v>
      </c>
      <c r="D19" t="s">
        <v>18</v>
      </c>
      <c r="E19" t="s">
        <v>33</v>
      </c>
      <c r="F19" t="s">
        <v>34</v>
      </c>
      <c r="G19" s="51"/>
    </row>
    <row r="20" spans="2:7" x14ac:dyDescent="0.3">
      <c r="B20" t="str">
        <f>UPPER(TabCategoria[[#This Row],[Categoria]])&amp;" - "&amp;TabCategoria[[#This Row],[Subcategoria]]</f>
        <v>RENDA EXTRA - Aposentadoria INSS</v>
      </c>
      <c r="C20" t="s">
        <v>17</v>
      </c>
      <c r="D20" t="s">
        <v>18</v>
      </c>
      <c r="E20" t="s">
        <v>33</v>
      </c>
      <c r="F20" t="s">
        <v>35</v>
      </c>
      <c r="G20" s="51"/>
    </row>
    <row r="21" spans="2:7" x14ac:dyDescent="0.3">
      <c r="B21" t="str">
        <f>UPPER(TabCategoria[[#This Row],[Categoria]])&amp;" - "&amp;TabCategoria[[#This Row],[Subcategoria]]</f>
        <v>RENDA EXTRA - Recebimento Aluguel</v>
      </c>
      <c r="C21" t="s">
        <v>17</v>
      </c>
      <c r="D21" t="s">
        <v>18</v>
      </c>
      <c r="E21" t="s">
        <v>33</v>
      </c>
      <c r="F21" t="s">
        <v>36</v>
      </c>
      <c r="G21" s="51"/>
    </row>
    <row r="22" spans="2:7" x14ac:dyDescent="0.3">
      <c r="B22" t="str">
        <f>UPPER(TabCategoria[[#This Row],[Categoria]])&amp;" - "&amp;TabCategoria[[#This Row],[Subcategoria]]</f>
        <v>RENDA EXTRA - Pensão / Auxílio de Parentes</v>
      </c>
      <c r="C22" t="s">
        <v>17</v>
      </c>
      <c r="D22" t="s">
        <v>18</v>
      </c>
      <c r="E22" t="s">
        <v>33</v>
      </c>
      <c r="F22" t="s">
        <v>37</v>
      </c>
      <c r="G22" s="51"/>
    </row>
    <row r="23" spans="2:7" x14ac:dyDescent="0.3">
      <c r="B23" t="str">
        <f>UPPER(TabCategoria[[#This Row],[Categoria]])&amp;" - "&amp;TabCategoria[[#This Row],[Subcategoria]]</f>
        <v>RENDA EXTRA - Restituição IR</v>
      </c>
      <c r="C23" t="s">
        <v>17</v>
      </c>
      <c r="D23" t="s">
        <v>18</v>
      </c>
      <c r="E23" t="s">
        <v>33</v>
      </c>
      <c r="F23" t="s">
        <v>38</v>
      </c>
      <c r="G23" s="51"/>
    </row>
    <row r="24" spans="2:7" x14ac:dyDescent="0.3">
      <c r="B24" t="str">
        <f>UPPER(TabCategoria[[#This Row],[Categoria]])&amp;" - "&amp;TabCategoria[[#This Row],[Subcategoria]]</f>
        <v>RENDA EXTRA - Outras fontes de renda</v>
      </c>
      <c r="C24" t="s">
        <v>17</v>
      </c>
      <c r="D24" t="s">
        <v>18</v>
      </c>
      <c r="E24" t="s">
        <v>33</v>
      </c>
      <c r="F24" t="s">
        <v>39</v>
      </c>
      <c r="G24" s="51"/>
    </row>
    <row r="25" spans="2:7" x14ac:dyDescent="0.3">
      <c r="B25" t="str">
        <f>UPPER(TabCategoria[[#This Row],[Categoria]])&amp;" - "&amp;TabCategoria[[#This Row],[Subcategoria]]</f>
        <v>MORADIA - Condomínio</v>
      </c>
      <c r="C25" t="s">
        <v>17</v>
      </c>
      <c r="D25" t="s">
        <v>40</v>
      </c>
      <c r="E25" t="s">
        <v>41</v>
      </c>
      <c r="F25" t="s">
        <v>42</v>
      </c>
      <c r="G25" s="51"/>
    </row>
    <row r="26" spans="2:7" x14ac:dyDescent="0.3">
      <c r="B26" t="str">
        <f>UPPER(TabCategoria[[#This Row],[Categoria]])&amp;" - "&amp;TabCategoria[[#This Row],[Subcategoria]]</f>
        <v>MORADIA - IPTU</v>
      </c>
      <c r="C26" t="s">
        <v>17</v>
      </c>
      <c r="D26" t="s">
        <v>40</v>
      </c>
      <c r="E26" t="s">
        <v>41</v>
      </c>
      <c r="F26" t="s">
        <v>43</v>
      </c>
      <c r="G26" s="51"/>
    </row>
    <row r="27" spans="2:7" x14ac:dyDescent="0.3">
      <c r="B27" t="str">
        <f>UPPER(TabCategoria[[#This Row],[Categoria]])&amp;" - "&amp;TabCategoria[[#This Row],[Subcategoria]]</f>
        <v>MORADIA - Aluguel</v>
      </c>
      <c r="C27" t="s">
        <v>17</v>
      </c>
      <c r="D27" t="s">
        <v>40</v>
      </c>
      <c r="E27" t="s">
        <v>41</v>
      </c>
      <c r="F27" t="s">
        <v>44</v>
      </c>
      <c r="G27" s="51"/>
    </row>
    <row r="28" spans="2:7" x14ac:dyDescent="0.3">
      <c r="B28" t="str">
        <f>UPPER(TabCategoria[[#This Row],[Categoria]])&amp;" - "&amp;TabCategoria[[#This Row],[Subcategoria]]</f>
        <v>MORADIA - Energia Elétrica</v>
      </c>
      <c r="C28" t="s">
        <v>17</v>
      </c>
      <c r="D28" t="s">
        <v>40</v>
      </c>
      <c r="E28" t="s">
        <v>41</v>
      </c>
      <c r="F28" t="s">
        <v>45</v>
      </c>
      <c r="G28" s="51"/>
    </row>
    <row r="29" spans="2:7" x14ac:dyDescent="0.3">
      <c r="B29" t="str">
        <f>UPPER(TabCategoria[[#This Row],[Categoria]])&amp;" - "&amp;TabCategoria[[#This Row],[Subcategoria]]</f>
        <v>MORADIA - Gás</v>
      </c>
      <c r="C29" t="s">
        <v>17</v>
      </c>
      <c r="D29" t="s">
        <v>40</v>
      </c>
      <c r="E29" t="s">
        <v>41</v>
      </c>
      <c r="F29" t="s">
        <v>46</v>
      </c>
      <c r="G29" s="51"/>
    </row>
    <row r="30" spans="2:7" x14ac:dyDescent="0.3">
      <c r="B30" t="str">
        <f>UPPER(TabCategoria[[#This Row],[Categoria]])&amp;" - "&amp;TabCategoria[[#This Row],[Subcategoria]]</f>
        <v>MORADIA - Água</v>
      </c>
      <c r="C30" t="s">
        <v>17</v>
      </c>
      <c r="D30" t="s">
        <v>40</v>
      </c>
      <c r="E30" t="s">
        <v>41</v>
      </c>
      <c r="F30" t="s">
        <v>47</v>
      </c>
      <c r="G30" s="51"/>
    </row>
    <row r="31" spans="2:7" x14ac:dyDescent="0.3">
      <c r="B31" t="str">
        <f>UPPER(TabCategoria[[#This Row],[Categoria]])&amp;" - "&amp;TabCategoria[[#This Row],[Subcategoria]]</f>
        <v>MORADIA - Material de Limpeza</v>
      </c>
      <c r="C31" t="s">
        <v>17</v>
      </c>
      <c r="D31" t="s">
        <v>40</v>
      </c>
      <c r="E31" t="s">
        <v>41</v>
      </c>
      <c r="F31" t="s">
        <v>48</v>
      </c>
      <c r="G31" s="51"/>
    </row>
    <row r="32" spans="2:7" x14ac:dyDescent="0.3">
      <c r="B32" t="str">
        <f>UPPER(TabCategoria[[#This Row],[Categoria]])&amp;" - "&amp;TabCategoria[[#This Row],[Subcategoria]]</f>
        <v>MORADIA - Serviços de limpeza / Faxina</v>
      </c>
      <c r="C32" t="s">
        <v>17</v>
      </c>
      <c r="D32" t="s">
        <v>40</v>
      </c>
      <c r="E32" t="s">
        <v>41</v>
      </c>
      <c r="F32" t="s">
        <v>49</v>
      </c>
      <c r="G32" s="51"/>
    </row>
    <row r="33" spans="2:7" x14ac:dyDescent="0.3">
      <c r="B33" t="str">
        <f>UPPER(TabCategoria[[#This Row],[Categoria]])&amp;" - "&amp;TabCategoria[[#This Row],[Subcategoria]]</f>
        <v>MORADIA - Seguro Residencial</v>
      </c>
      <c r="C33" t="s">
        <v>17</v>
      </c>
      <c r="D33" t="s">
        <v>40</v>
      </c>
      <c r="E33" t="s">
        <v>41</v>
      </c>
      <c r="F33" t="s">
        <v>50</v>
      </c>
      <c r="G33" s="51"/>
    </row>
    <row r="34" spans="2:7" x14ac:dyDescent="0.3">
      <c r="B34" t="str">
        <f>UPPER(TabCategoria[[#This Row],[Categoria]])&amp;" - "&amp;TabCategoria[[#This Row],[Subcategoria]]</f>
        <v>MORADIA - Utensílios e Eletrodomésticos</v>
      </c>
      <c r="C34" t="s">
        <v>17</v>
      </c>
      <c r="D34" t="s">
        <v>40</v>
      </c>
      <c r="E34" t="s">
        <v>41</v>
      </c>
      <c r="F34" t="s">
        <v>51</v>
      </c>
      <c r="G34" s="51"/>
    </row>
    <row r="35" spans="2:7" x14ac:dyDescent="0.3">
      <c r="B35" t="str">
        <f>UPPER(TabCategoria[[#This Row],[Categoria]])&amp;" - "&amp;TabCategoria[[#This Row],[Subcategoria]]</f>
        <v>MORADIA - Reforma / Manutenção / Jardineiro</v>
      </c>
      <c r="C35" t="s">
        <v>17</v>
      </c>
      <c r="D35" t="s">
        <v>40</v>
      </c>
      <c r="E35" t="s">
        <v>41</v>
      </c>
      <c r="F35" t="s">
        <v>52</v>
      </c>
      <c r="G35" s="51"/>
    </row>
    <row r="36" spans="2:7" x14ac:dyDescent="0.3">
      <c r="B36" t="str">
        <f>UPPER(TabCategoria[[#This Row],[Categoria]])&amp;" - "&amp;TabCategoria[[#This Row],[Subcategoria]]</f>
        <v>MORADIA - Custos com Imóveis de Veraneio</v>
      </c>
      <c r="C36" t="s">
        <v>17</v>
      </c>
      <c r="D36" t="s">
        <v>40</v>
      </c>
      <c r="E36" t="s">
        <v>41</v>
      </c>
      <c r="F36" t="s">
        <v>53</v>
      </c>
      <c r="G36" s="51"/>
    </row>
    <row r="37" spans="2:7" x14ac:dyDescent="0.3">
      <c r="B37" t="str">
        <f>UPPER(TabCategoria[[#This Row],[Categoria]])&amp;" - "&amp;TabCategoria[[#This Row],[Subcategoria]]</f>
        <v>MORADIA - Custos com Imóveis não Alugados</v>
      </c>
      <c r="C37" t="s">
        <v>17</v>
      </c>
      <c r="D37" t="s">
        <v>40</v>
      </c>
      <c r="E37" t="s">
        <v>41</v>
      </c>
      <c r="F37" t="s">
        <v>54</v>
      </c>
      <c r="G37" s="51"/>
    </row>
    <row r="38" spans="2:7" x14ac:dyDescent="0.3">
      <c r="B38" t="str">
        <f>UPPER(TabCategoria[[#This Row],[Categoria]])&amp;" - "&amp;TabCategoria[[#This Row],[Subcategoria]]</f>
        <v>MORADIA - Outros Moradia</v>
      </c>
      <c r="C38" t="s">
        <v>17</v>
      </c>
      <c r="D38" t="s">
        <v>40</v>
      </c>
      <c r="E38" t="s">
        <v>41</v>
      </c>
      <c r="F38" t="s">
        <v>55</v>
      </c>
      <c r="G38" s="51"/>
    </row>
    <row r="39" spans="2:7" x14ac:dyDescent="0.3">
      <c r="B39" t="str">
        <f>UPPER(TabCategoria[[#This Row],[Categoria]])&amp;" - "&amp;TabCategoria[[#This Row],[Subcategoria]]</f>
        <v xml:space="preserve">COMUNICAÇÃO - Telefone Celular </v>
      </c>
      <c r="C39" t="s">
        <v>17</v>
      </c>
      <c r="D39" t="s">
        <v>40</v>
      </c>
      <c r="E39" t="s">
        <v>56</v>
      </c>
      <c r="F39" t="s">
        <v>57</v>
      </c>
      <c r="G39" s="51"/>
    </row>
    <row r="40" spans="2:7" x14ac:dyDescent="0.3">
      <c r="B40" t="str">
        <f>UPPER(TabCategoria[[#This Row],[Categoria]])&amp;" - "&amp;TabCategoria[[#This Row],[Subcategoria]]</f>
        <v>COMUNICAÇÃO - Combo (TV + Internet + Tel)</v>
      </c>
      <c r="C40" t="s">
        <v>17</v>
      </c>
      <c r="D40" t="s">
        <v>40</v>
      </c>
      <c r="E40" t="s">
        <v>56</v>
      </c>
      <c r="F40" t="s">
        <v>58</v>
      </c>
      <c r="G40" s="51"/>
    </row>
    <row r="41" spans="2:7" x14ac:dyDescent="0.3">
      <c r="B41" t="str">
        <f>UPPER(TabCategoria[[#This Row],[Categoria]])&amp;" - "&amp;TabCategoria[[#This Row],[Subcategoria]]</f>
        <v>COMUNICAÇÃO - Telefone Fixo</v>
      </c>
      <c r="C41" t="s">
        <v>17</v>
      </c>
      <c r="D41" t="s">
        <v>40</v>
      </c>
      <c r="E41" t="s">
        <v>56</v>
      </c>
      <c r="F41" t="s">
        <v>59</v>
      </c>
      <c r="G41" s="51"/>
    </row>
    <row r="42" spans="2:7" x14ac:dyDescent="0.3">
      <c r="B42" t="str">
        <f>UPPER(TabCategoria[[#This Row],[Categoria]])&amp;" - "&amp;TabCategoria[[#This Row],[Subcategoria]]</f>
        <v>COMUNICAÇÃO - Internet</v>
      </c>
      <c r="C42" t="s">
        <v>17</v>
      </c>
      <c r="D42" t="s">
        <v>40</v>
      </c>
      <c r="E42" t="s">
        <v>56</v>
      </c>
      <c r="F42" t="s">
        <v>60</v>
      </c>
      <c r="G42" s="51"/>
    </row>
    <row r="43" spans="2:7" x14ac:dyDescent="0.3">
      <c r="B43" t="str">
        <f>UPPER(TabCategoria[[#This Row],[Categoria]])&amp;" - "&amp;TabCategoria[[#This Row],[Subcategoria]]</f>
        <v>COMUNICAÇÃO - TV a cabo</v>
      </c>
      <c r="C43" t="s">
        <v>17</v>
      </c>
      <c r="D43" t="s">
        <v>40</v>
      </c>
      <c r="E43" t="s">
        <v>56</v>
      </c>
      <c r="F43" t="s">
        <v>61</v>
      </c>
      <c r="G43" s="51"/>
    </row>
    <row r="44" spans="2:7" x14ac:dyDescent="0.3">
      <c r="B44" t="str">
        <f>UPPER(TabCategoria[[#This Row],[Categoria]])&amp;" - "&amp;TabCategoria[[#This Row],[Subcategoria]]</f>
        <v>COMUNICAÇÃO - Apps (Netflix, Spotify, Skype, etc)</v>
      </c>
      <c r="C44" t="s">
        <v>17</v>
      </c>
      <c r="D44" t="s">
        <v>40</v>
      </c>
      <c r="E44" t="s">
        <v>56</v>
      </c>
      <c r="F44" t="s">
        <v>62</v>
      </c>
      <c r="G44" s="51"/>
    </row>
    <row r="45" spans="2:7" x14ac:dyDescent="0.3">
      <c r="B45" t="str">
        <f>UPPER(TabCategoria[[#This Row],[Categoria]])&amp;" - "&amp;TabCategoria[[#This Row],[Subcategoria]]</f>
        <v>COMUNICAÇÃO - Outros Comunicação</v>
      </c>
      <c r="C45" t="s">
        <v>17</v>
      </c>
      <c r="D45" t="s">
        <v>40</v>
      </c>
      <c r="E45" t="s">
        <v>56</v>
      </c>
      <c r="F45" t="s">
        <v>63</v>
      </c>
      <c r="G45" s="51"/>
    </row>
    <row r="46" spans="2:7" x14ac:dyDescent="0.3">
      <c r="B46" t="str">
        <f>UPPER(TabCategoria[[#This Row],[Categoria]])&amp;" - "&amp;TabCategoria[[#This Row],[Subcategoria]]</f>
        <v>ALIMENTAÇÃO - Supermercado</v>
      </c>
      <c r="C46" t="s">
        <v>17</v>
      </c>
      <c r="D46" t="s">
        <v>40</v>
      </c>
      <c r="E46" t="s">
        <v>64</v>
      </c>
      <c r="F46" t="s">
        <v>65</v>
      </c>
      <c r="G46" s="51"/>
    </row>
    <row r="47" spans="2:7" x14ac:dyDescent="0.3">
      <c r="B47" t="str">
        <f>UPPER(TabCategoria[[#This Row],[Categoria]])&amp;" - "&amp;TabCategoria[[#This Row],[Subcategoria]]</f>
        <v>ALIMENTAÇÃO - Refeições em restaurante</v>
      </c>
      <c r="C47" t="s">
        <v>17</v>
      </c>
      <c r="D47" t="s">
        <v>40</v>
      </c>
      <c r="E47" t="s">
        <v>64</v>
      </c>
      <c r="F47" t="s">
        <v>66</v>
      </c>
      <c r="G47" s="51"/>
    </row>
    <row r="48" spans="2:7" x14ac:dyDescent="0.3">
      <c r="B48" t="str">
        <f>UPPER(TabCategoria[[#This Row],[Categoria]])&amp;" - "&amp;TabCategoria[[#This Row],[Subcategoria]]</f>
        <v>ALIMENTAÇÃO - Feira</v>
      </c>
      <c r="C48" t="s">
        <v>17</v>
      </c>
      <c r="D48" t="s">
        <v>40</v>
      </c>
      <c r="E48" t="s">
        <v>64</v>
      </c>
      <c r="F48" t="s">
        <v>67</v>
      </c>
      <c r="G48" s="51"/>
    </row>
    <row r="49" spans="2:7" x14ac:dyDescent="0.3">
      <c r="B49" t="str">
        <f>UPPER(TabCategoria[[#This Row],[Categoria]])&amp;" - "&amp;TabCategoria[[#This Row],[Subcategoria]]</f>
        <v>ALIMENTAÇÃO - Padaria</v>
      </c>
      <c r="C49" t="s">
        <v>17</v>
      </c>
      <c r="D49" t="s">
        <v>40</v>
      </c>
      <c r="E49" t="s">
        <v>64</v>
      </c>
      <c r="F49" t="s">
        <v>68</v>
      </c>
      <c r="G49" s="51"/>
    </row>
    <row r="50" spans="2:7" x14ac:dyDescent="0.3">
      <c r="B50" t="str">
        <f>UPPER(TabCategoria[[#This Row],[Categoria]])&amp;" - "&amp;TabCategoria[[#This Row],[Subcategoria]]</f>
        <v>ALIMENTAÇÃO - Lanches &amp; Snacks</v>
      </c>
      <c r="C50" t="s">
        <v>17</v>
      </c>
      <c r="D50" t="s">
        <v>40</v>
      </c>
      <c r="E50" t="s">
        <v>64</v>
      </c>
      <c r="F50" t="s">
        <v>69</v>
      </c>
      <c r="G50" s="51"/>
    </row>
    <row r="51" spans="2:7" x14ac:dyDescent="0.3">
      <c r="B51" t="str">
        <f>UPPER(TabCategoria[[#This Row],[Categoria]])&amp;" - "&amp;TabCategoria[[#This Row],[Subcategoria]]</f>
        <v>ALIMENTAÇÃO - Outros Alimentação</v>
      </c>
      <c r="C51" t="s">
        <v>17</v>
      </c>
      <c r="D51" t="s">
        <v>40</v>
      </c>
      <c r="E51" t="s">
        <v>64</v>
      </c>
      <c r="F51" t="s">
        <v>70</v>
      </c>
      <c r="G51" s="51"/>
    </row>
    <row r="52" spans="2:7" x14ac:dyDescent="0.3">
      <c r="B52" t="str">
        <f>UPPER(TabCategoria[[#This Row],[Categoria]])&amp;" - "&amp;TabCategoria[[#This Row],[Subcategoria]]</f>
        <v>TRANSPORTE - Combustível</v>
      </c>
      <c r="C52" t="s">
        <v>17</v>
      </c>
      <c r="D52" t="s">
        <v>40</v>
      </c>
      <c r="E52" t="s">
        <v>71</v>
      </c>
      <c r="F52" t="s">
        <v>72</v>
      </c>
      <c r="G52" s="51"/>
    </row>
    <row r="53" spans="2:7" x14ac:dyDescent="0.3">
      <c r="B53" t="str">
        <f>UPPER(TabCategoria[[#This Row],[Categoria]])&amp;" - "&amp;TabCategoria[[#This Row],[Subcategoria]]</f>
        <v>TRANSPORTE - Seguro Carro</v>
      </c>
      <c r="C53" t="s">
        <v>17</v>
      </c>
      <c r="D53" t="s">
        <v>40</v>
      </c>
      <c r="E53" t="s">
        <v>71</v>
      </c>
      <c r="F53" t="s">
        <v>73</v>
      </c>
      <c r="G53" s="51"/>
    </row>
    <row r="54" spans="2:7" x14ac:dyDescent="0.3">
      <c r="B54" t="str">
        <f>UPPER(TabCategoria[[#This Row],[Categoria]])&amp;" - "&amp;TabCategoria[[#This Row],[Subcategoria]]</f>
        <v>TRANSPORTE - IPVA</v>
      </c>
      <c r="C54" t="s">
        <v>17</v>
      </c>
      <c r="D54" t="s">
        <v>40</v>
      </c>
      <c r="E54" t="s">
        <v>71</v>
      </c>
      <c r="F54" t="s">
        <v>74</v>
      </c>
      <c r="G54" s="51"/>
    </row>
    <row r="55" spans="2:7" x14ac:dyDescent="0.3">
      <c r="B55" t="str">
        <f>UPPER(TabCategoria[[#This Row],[Categoria]])&amp;" - "&amp;TabCategoria[[#This Row],[Subcategoria]]</f>
        <v>TRANSPORTE - Licenciamento</v>
      </c>
      <c r="C55" t="s">
        <v>17</v>
      </c>
      <c r="D55" t="s">
        <v>40</v>
      </c>
      <c r="E55" t="s">
        <v>71</v>
      </c>
      <c r="F55" t="s">
        <v>75</v>
      </c>
      <c r="G55" s="51"/>
    </row>
    <row r="56" spans="2:7" x14ac:dyDescent="0.3">
      <c r="B56" t="str">
        <f>UPPER(TabCategoria[[#This Row],[Categoria]])&amp;" - "&amp;TabCategoria[[#This Row],[Subcategoria]]</f>
        <v>TRANSPORTE - Manutenção</v>
      </c>
      <c r="C56" t="s">
        <v>17</v>
      </c>
      <c r="D56" t="s">
        <v>40</v>
      </c>
      <c r="E56" t="s">
        <v>71</v>
      </c>
      <c r="F56" t="s">
        <v>76</v>
      </c>
      <c r="G56" s="51"/>
    </row>
    <row r="57" spans="2:7" x14ac:dyDescent="0.3">
      <c r="B57" t="str">
        <f>UPPER(TabCategoria[[#This Row],[Categoria]])&amp;" - "&amp;TabCategoria[[#This Row],[Subcategoria]]</f>
        <v>TRANSPORTE - Estacionamento</v>
      </c>
      <c r="C57" t="s">
        <v>17</v>
      </c>
      <c r="D57" t="s">
        <v>40</v>
      </c>
      <c r="E57" t="s">
        <v>71</v>
      </c>
      <c r="F57" t="s">
        <v>77</v>
      </c>
      <c r="G57" s="51"/>
    </row>
    <row r="58" spans="2:7" x14ac:dyDescent="0.3">
      <c r="B58" t="str">
        <f>UPPER(TabCategoria[[#This Row],[Categoria]])&amp;" - "&amp;TabCategoria[[#This Row],[Subcategoria]]</f>
        <v>TRANSPORTE - Pedágio</v>
      </c>
      <c r="C58" t="s">
        <v>17</v>
      </c>
      <c r="D58" t="s">
        <v>40</v>
      </c>
      <c r="E58" t="s">
        <v>71</v>
      </c>
      <c r="F58" t="s">
        <v>78</v>
      </c>
      <c r="G58" s="51"/>
    </row>
    <row r="59" spans="2:7" x14ac:dyDescent="0.3">
      <c r="B59" t="str">
        <f>UPPER(TabCategoria[[#This Row],[Categoria]])&amp;" - "&amp;TabCategoria[[#This Row],[Subcategoria]]</f>
        <v>TRANSPORTE - Multas</v>
      </c>
      <c r="C59" t="s">
        <v>17</v>
      </c>
      <c r="D59" t="s">
        <v>40</v>
      </c>
      <c r="E59" t="s">
        <v>71</v>
      </c>
      <c r="F59" t="s">
        <v>79</v>
      </c>
      <c r="G59" s="51"/>
    </row>
    <row r="60" spans="2:7" x14ac:dyDescent="0.3">
      <c r="B60" t="str">
        <f>UPPER(TabCategoria[[#This Row],[Categoria]])&amp;" - "&amp;TabCategoria[[#This Row],[Subcategoria]]</f>
        <v>TRANSPORTE - Ônibus / Metrô</v>
      </c>
      <c r="C60" t="s">
        <v>17</v>
      </c>
      <c r="D60" t="s">
        <v>40</v>
      </c>
      <c r="E60" t="s">
        <v>71</v>
      </c>
      <c r="F60" t="s">
        <v>80</v>
      </c>
      <c r="G60" s="51"/>
    </row>
    <row r="61" spans="2:7" x14ac:dyDescent="0.3">
      <c r="B61" t="str">
        <f>UPPER(TabCategoria[[#This Row],[Categoria]])&amp;" - "&amp;TabCategoria[[#This Row],[Subcategoria]]</f>
        <v>TRANSPORTE - Táxi</v>
      </c>
      <c r="C61" t="s">
        <v>17</v>
      </c>
      <c r="D61" t="s">
        <v>40</v>
      </c>
      <c r="E61" t="s">
        <v>71</v>
      </c>
      <c r="F61" t="s">
        <v>81</v>
      </c>
      <c r="G61" s="51"/>
    </row>
    <row r="62" spans="2:7" x14ac:dyDescent="0.3">
      <c r="B62" t="str">
        <f>UPPER(TabCategoria[[#This Row],[Categoria]])&amp;" - "&amp;TabCategoria[[#This Row],[Subcategoria]]</f>
        <v>TRANSPORTE - Lavagem / Higienização</v>
      </c>
      <c r="C62" t="s">
        <v>17</v>
      </c>
      <c r="D62" t="s">
        <v>40</v>
      </c>
      <c r="E62" t="s">
        <v>71</v>
      </c>
      <c r="F62" t="s">
        <v>82</v>
      </c>
      <c r="G62" s="51"/>
    </row>
    <row r="63" spans="2:7" x14ac:dyDescent="0.3">
      <c r="B63" t="str">
        <f>UPPER(TabCategoria[[#This Row],[Categoria]])&amp;" - "&amp;TabCategoria[[#This Row],[Subcategoria]]</f>
        <v>TRANSPORTE - Outros Transporte</v>
      </c>
      <c r="C63" t="s">
        <v>17</v>
      </c>
      <c r="D63" t="s">
        <v>40</v>
      </c>
      <c r="E63" t="s">
        <v>71</v>
      </c>
      <c r="F63" t="s">
        <v>83</v>
      </c>
      <c r="G63" s="51"/>
    </row>
    <row r="64" spans="2:7" x14ac:dyDescent="0.3">
      <c r="B64" t="str">
        <f>UPPER(TabCategoria[[#This Row],[Categoria]])&amp;" - "&amp;TabCategoria[[#This Row],[Subcategoria]]</f>
        <v>SAÚDE - Plano de Saúde</v>
      </c>
      <c r="C64" t="s">
        <v>17</v>
      </c>
      <c r="D64" t="s">
        <v>40</v>
      </c>
      <c r="E64" t="s">
        <v>84</v>
      </c>
      <c r="F64" t="s">
        <v>85</v>
      </c>
      <c r="G64" s="51"/>
    </row>
    <row r="65" spans="2:7" x14ac:dyDescent="0.3">
      <c r="B65" t="str">
        <f>UPPER(TabCategoria[[#This Row],[Categoria]])&amp;" - "&amp;TabCategoria[[#This Row],[Subcategoria]]</f>
        <v>SAÚDE - Dentista</v>
      </c>
      <c r="C65" t="s">
        <v>17</v>
      </c>
      <c r="D65" t="s">
        <v>40</v>
      </c>
      <c r="E65" t="s">
        <v>84</v>
      </c>
      <c r="F65" t="s">
        <v>86</v>
      </c>
      <c r="G65" s="51"/>
    </row>
    <row r="66" spans="2:7" x14ac:dyDescent="0.3">
      <c r="B66" t="str">
        <f>UPPER(TabCategoria[[#This Row],[Categoria]])&amp;" - "&amp;TabCategoria[[#This Row],[Subcategoria]]</f>
        <v>SAÚDE - Medicamentos / Farmácia</v>
      </c>
      <c r="C66" t="s">
        <v>17</v>
      </c>
      <c r="D66" t="s">
        <v>40</v>
      </c>
      <c r="E66" t="s">
        <v>84</v>
      </c>
      <c r="F66" t="s">
        <v>87</v>
      </c>
      <c r="G66" s="51"/>
    </row>
    <row r="67" spans="2:7" x14ac:dyDescent="0.3">
      <c r="B67" t="str">
        <f>UPPER(TabCategoria[[#This Row],[Categoria]])&amp;" - "&amp;TabCategoria[[#This Row],[Subcategoria]]</f>
        <v>SAÚDE - Terapia / Tratamentos Contínuos</v>
      </c>
      <c r="C67" t="s">
        <v>17</v>
      </c>
      <c r="D67" t="s">
        <v>40</v>
      </c>
      <c r="E67" t="s">
        <v>84</v>
      </c>
      <c r="F67" t="s">
        <v>88</v>
      </c>
      <c r="G67" s="51"/>
    </row>
    <row r="68" spans="2:7" x14ac:dyDescent="0.3">
      <c r="B68" t="str">
        <f>UPPER(TabCategoria[[#This Row],[Categoria]])&amp;" - "&amp;TabCategoria[[#This Row],[Subcategoria]]</f>
        <v>SAÚDE - Outras Consultas Fora do Plano</v>
      </c>
      <c r="C68" t="s">
        <v>17</v>
      </c>
      <c r="D68" t="s">
        <v>40</v>
      </c>
      <c r="E68" t="s">
        <v>84</v>
      </c>
      <c r="F68" t="s">
        <v>89</v>
      </c>
      <c r="G68" s="51"/>
    </row>
    <row r="69" spans="2:7" x14ac:dyDescent="0.3">
      <c r="B69" t="str">
        <f>UPPER(TabCategoria[[#This Row],[Categoria]])&amp;" - "&amp;TabCategoria[[#This Row],[Subcategoria]]</f>
        <v>SAÚDE - Outros Saúde</v>
      </c>
      <c r="C69" t="s">
        <v>17</v>
      </c>
      <c r="D69" t="s">
        <v>40</v>
      </c>
      <c r="E69" t="s">
        <v>84</v>
      </c>
      <c r="F69" t="s">
        <v>90</v>
      </c>
      <c r="G69" s="51"/>
    </row>
    <row r="70" spans="2:7" x14ac:dyDescent="0.3">
      <c r="B70" t="str">
        <f>UPPER(TabCategoria[[#This Row],[Categoria]])&amp;" - "&amp;TabCategoria[[#This Row],[Subcategoria]]</f>
        <v>PESSOAIS - Vestuário / Calçados / Acessórios</v>
      </c>
      <c r="C70" t="s">
        <v>17</v>
      </c>
      <c r="D70" t="s">
        <v>40</v>
      </c>
      <c r="E70" t="s">
        <v>91</v>
      </c>
      <c r="F70" t="s">
        <v>92</v>
      </c>
      <c r="G70" s="51"/>
    </row>
    <row r="71" spans="2:7" x14ac:dyDescent="0.3">
      <c r="B71" t="str">
        <f>UPPER(TabCategoria[[#This Row],[Categoria]])&amp;" - "&amp;TabCategoria[[#This Row],[Subcategoria]]</f>
        <v>PESSOAIS - Higiene pessoal</v>
      </c>
      <c r="C71" t="s">
        <v>17</v>
      </c>
      <c r="D71" t="s">
        <v>40</v>
      </c>
      <c r="E71" t="s">
        <v>91</v>
      </c>
      <c r="F71" t="s">
        <v>93</v>
      </c>
      <c r="G71" s="51"/>
    </row>
    <row r="72" spans="2:7" x14ac:dyDescent="0.3">
      <c r="B72" t="str">
        <f>UPPER(TabCategoria[[#This Row],[Categoria]])&amp;" - "&amp;TabCategoria[[#This Row],[Subcategoria]]</f>
        <v>PESSOAIS - Lavanderia</v>
      </c>
      <c r="C72" t="s">
        <v>17</v>
      </c>
      <c r="D72" t="s">
        <v>40</v>
      </c>
      <c r="E72" t="s">
        <v>91</v>
      </c>
      <c r="F72" t="s">
        <v>94</v>
      </c>
      <c r="G72" s="51"/>
    </row>
    <row r="73" spans="2:7" x14ac:dyDescent="0.3">
      <c r="B73" t="str">
        <f>UPPER(TabCategoria[[#This Row],[Categoria]])&amp;" - "&amp;TabCategoria[[#This Row],[Subcategoria]]</f>
        <v>PESSOAIS - Estética</v>
      </c>
      <c r="C73" t="s">
        <v>17</v>
      </c>
      <c r="D73" t="s">
        <v>40</v>
      </c>
      <c r="E73" t="s">
        <v>91</v>
      </c>
      <c r="F73" t="s">
        <v>95</v>
      </c>
      <c r="G73" s="51"/>
    </row>
    <row r="74" spans="2:7" x14ac:dyDescent="0.3">
      <c r="B74" t="str">
        <f>UPPER(TabCategoria[[#This Row],[Categoria]])&amp;" - "&amp;TabCategoria[[#This Row],[Subcategoria]]</f>
        <v>PESSOAIS - Salão / Barbeiro / Manicure</v>
      </c>
      <c r="C74" t="s">
        <v>17</v>
      </c>
      <c r="D74" t="s">
        <v>40</v>
      </c>
      <c r="E74" t="s">
        <v>91</v>
      </c>
      <c r="F74" t="s">
        <v>96</v>
      </c>
      <c r="G74" s="51"/>
    </row>
    <row r="75" spans="2:7" x14ac:dyDescent="0.3">
      <c r="B75" t="str">
        <f>UPPER(TabCategoria[[#This Row],[Categoria]])&amp;" - "&amp;TabCategoria[[#This Row],[Subcategoria]]</f>
        <v>PESSOAIS - Academia / Esportes</v>
      </c>
      <c r="C75" t="s">
        <v>17</v>
      </c>
      <c r="D75" t="s">
        <v>40</v>
      </c>
      <c r="E75" t="s">
        <v>91</v>
      </c>
      <c r="F75" t="s">
        <v>97</v>
      </c>
      <c r="G75" s="51"/>
    </row>
    <row r="76" spans="2:7" x14ac:dyDescent="0.3">
      <c r="B76" t="str">
        <f>UPPER(TabCategoria[[#This Row],[Categoria]])&amp;" - "&amp;TabCategoria[[#This Row],[Subcategoria]]</f>
        <v>PESSOAIS - Suplemento Alimentar</v>
      </c>
      <c r="C76" t="s">
        <v>17</v>
      </c>
      <c r="D76" t="s">
        <v>40</v>
      </c>
      <c r="E76" t="s">
        <v>91</v>
      </c>
      <c r="F76" t="s">
        <v>98</v>
      </c>
      <c r="G76" s="51"/>
    </row>
    <row r="77" spans="2:7" x14ac:dyDescent="0.3">
      <c r="B77" t="str">
        <f>UPPER(TabCategoria[[#This Row],[Categoria]])&amp;" - "&amp;TabCategoria[[#This Row],[Subcategoria]]</f>
        <v>PESSOAIS - Outros Pessoais</v>
      </c>
      <c r="C77" t="s">
        <v>17</v>
      </c>
      <c r="D77" t="s">
        <v>40</v>
      </c>
      <c r="E77" t="s">
        <v>91</v>
      </c>
      <c r="F77" t="s">
        <v>99</v>
      </c>
      <c r="G77" s="51"/>
    </row>
    <row r="78" spans="2:7" x14ac:dyDescent="0.3">
      <c r="B78" t="str">
        <f>UPPER(TabCategoria[[#This Row],[Categoria]])&amp;" - "&amp;TabCategoria[[#This Row],[Subcategoria]]</f>
        <v>EDUCAÇÃO - Colégio</v>
      </c>
      <c r="C78" t="s">
        <v>17</v>
      </c>
      <c r="D78" t="s">
        <v>40</v>
      </c>
      <c r="E78" t="s">
        <v>100</v>
      </c>
      <c r="F78" t="s">
        <v>101</v>
      </c>
      <c r="G78" s="51"/>
    </row>
    <row r="79" spans="2:7" x14ac:dyDescent="0.3">
      <c r="B79" t="str">
        <f>UPPER(TabCategoria[[#This Row],[Categoria]])&amp;" - "&amp;TabCategoria[[#This Row],[Subcategoria]]</f>
        <v>EDUCAÇÃO - Graduação</v>
      </c>
      <c r="C79" t="s">
        <v>17</v>
      </c>
      <c r="D79" t="s">
        <v>40</v>
      </c>
      <c r="E79" t="s">
        <v>100</v>
      </c>
      <c r="F79" t="s">
        <v>102</v>
      </c>
      <c r="G79" s="51"/>
    </row>
    <row r="80" spans="2:7" x14ac:dyDescent="0.3">
      <c r="B80" t="str">
        <f>UPPER(TabCategoria[[#This Row],[Categoria]])&amp;" - "&amp;TabCategoria[[#This Row],[Subcategoria]]</f>
        <v xml:space="preserve">EDUCAÇÃO - Pós-Graduação </v>
      </c>
      <c r="C80" t="s">
        <v>17</v>
      </c>
      <c r="D80" t="s">
        <v>40</v>
      </c>
      <c r="E80" t="s">
        <v>100</v>
      </c>
      <c r="F80" t="s">
        <v>103</v>
      </c>
      <c r="G80" s="51"/>
    </row>
    <row r="81" spans="2:7" x14ac:dyDescent="0.3">
      <c r="B81" t="str">
        <f>UPPER(TabCategoria[[#This Row],[Categoria]])&amp;" - "&amp;TabCategoria[[#This Row],[Subcategoria]]</f>
        <v>EDUCAÇÃO - Cursos de Extensão</v>
      </c>
      <c r="C81" t="s">
        <v>17</v>
      </c>
      <c r="D81" t="s">
        <v>40</v>
      </c>
      <c r="E81" t="s">
        <v>100</v>
      </c>
      <c r="F81" t="s">
        <v>104</v>
      </c>
      <c r="G81" s="51"/>
    </row>
    <row r="82" spans="2:7" x14ac:dyDescent="0.3">
      <c r="B82" t="str">
        <f>UPPER(TabCategoria[[#This Row],[Categoria]])&amp;" - "&amp;TabCategoria[[#This Row],[Subcategoria]]</f>
        <v>EDUCAÇÃO - Idiomas</v>
      </c>
      <c r="C82" t="s">
        <v>17</v>
      </c>
      <c r="D82" t="s">
        <v>40</v>
      </c>
      <c r="E82" t="s">
        <v>100</v>
      </c>
      <c r="F82" t="s">
        <v>105</v>
      </c>
      <c r="G82" s="51"/>
    </row>
    <row r="83" spans="2:7" x14ac:dyDescent="0.3">
      <c r="B83" t="str">
        <f>UPPER(TabCategoria[[#This Row],[Categoria]])&amp;" - "&amp;TabCategoria[[#This Row],[Subcategoria]]</f>
        <v>EDUCAÇÃO - Outros Educação</v>
      </c>
      <c r="C83" t="s">
        <v>17</v>
      </c>
      <c r="D83" t="s">
        <v>40</v>
      </c>
      <c r="E83" t="s">
        <v>100</v>
      </c>
      <c r="F83" t="s">
        <v>106</v>
      </c>
      <c r="G83" s="51"/>
    </row>
    <row r="84" spans="2:7" x14ac:dyDescent="0.3">
      <c r="B84" t="str">
        <f>UPPER(TabCategoria[[#This Row],[Categoria]])&amp;" - "&amp;TabCategoria[[#This Row],[Subcategoria]]</f>
        <v>LAZER - Cinema / Teatro / Shows</v>
      </c>
      <c r="C84" t="s">
        <v>17</v>
      </c>
      <c r="D84" t="s">
        <v>40</v>
      </c>
      <c r="E84" t="s">
        <v>107</v>
      </c>
      <c r="F84" t="s">
        <v>108</v>
      </c>
      <c r="G84" s="51"/>
    </row>
    <row r="85" spans="2:7" x14ac:dyDescent="0.3">
      <c r="B85" t="str">
        <f>UPPER(TabCategoria[[#This Row],[Categoria]])&amp;" - "&amp;TabCategoria[[#This Row],[Subcategoria]]</f>
        <v>LAZER - Livros / Revistas / Jornais / CDs</v>
      </c>
      <c r="C85" t="s">
        <v>17</v>
      </c>
      <c r="D85" t="s">
        <v>40</v>
      </c>
      <c r="E85" t="s">
        <v>107</v>
      </c>
      <c r="F85" t="s">
        <v>109</v>
      </c>
      <c r="G85" s="51"/>
    </row>
    <row r="86" spans="2:7" x14ac:dyDescent="0.3">
      <c r="B86" t="str">
        <f>UPPER(TabCategoria[[#This Row],[Categoria]])&amp;" - "&amp;TabCategoria[[#This Row],[Subcategoria]]</f>
        <v>LAZER - Clubes / Parques</v>
      </c>
      <c r="C86" t="s">
        <v>17</v>
      </c>
      <c r="D86" t="s">
        <v>40</v>
      </c>
      <c r="E86" t="s">
        <v>107</v>
      </c>
      <c r="F86" t="s">
        <v>110</v>
      </c>
      <c r="G86" s="51"/>
    </row>
    <row r="87" spans="2:7" x14ac:dyDescent="0.3">
      <c r="B87" t="str">
        <f>UPPER(TabCategoria[[#This Row],[Categoria]])&amp;" - "&amp;TabCategoria[[#This Row],[Subcategoria]]</f>
        <v>LAZER - Bares e Restaurantes</v>
      </c>
      <c r="C87" t="s">
        <v>17</v>
      </c>
      <c r="D87" t="s">
        <v>40</v>
      </c>
      <c r="E87" t="s">
        <v>107</v>
      </c>
      <c r="F87" t="s">
        <v>111</v>
      </c>
      <c r="G87" s="51"/>
    </row>
    <row r="88" spans="2:7" x14ac:dyDescent="0.3">
      <c r="B88" t="str">
        <f>UPPER(TabCategoria[[#This Row],[Categoria]])&amp;" - "&amp;TabCategoria[[#This Row],[Subcategoria]]</f>
        <v>LAZER - Viagens</v>
      </c>
      <c r="C88" t="s">
        <v>17</v>
      </c>
      <c r="D88" t="s">
        <v>40</v>
      </c>
      <c r="E88" t="s">
        <v>107</v>
      </c>
      <c r="F88" t="s">
        <v>112</v>
      </c>
      <c r="G88" s="51"/>
    </row>
    <row r="89" spans="2:7" x14ac:dyDescent="0.3">
      <c r="B89" t="str">
        <f>UPPER(TabCategoria[[#This Row],[Categoria]])&amp;" - "&amp;TabCategoria[[#This Row],[Subcategoria]]</f>
        <v>LAZER - Outros Lazer</v>
      </c>
      <c r="C89" t="s">
        <v>17</v>
      </c>
      <c r="D89" t="s">
        <v>40</v>
      </c>
      <c r="E89" t="s">
        <v>107</v>
      </c>
      <c r="F89" t="s">
        <v>113</v>
      </c>
      <c r="G89" s="51"/>
    </row>
    <row r="90" spans="2:7" x14ac:dyDescent="0.3">
      <c r="B90" t="str">
        <f>UPPER(TabCategoria[[#This Row],[Categoria]])&amp;" - "&amp;TabCategoria[[#This Row],[Subcategoria]]</f>
        <v>SERVIÇOS FINANCEIROS - Tarifas Bancárias</v>
      </c>
      <c r="C90" t="s">
        <v>17</v>
      </c>
      <c r="D90" t="s">
        <v>40</v>
      </c>
      <c r="E90" t="s">
        <v>114</v>
      </c>
      <c r="F90" t="s">
        <v>115</v>
      </c>
      <c r="G90" s="51"/>
    </row>
    <row r="91" spans="2:7" x14ac:dyDescent="0.3">
      <c r="B91" t="str">
        <f>UPPER(TabCategoria[[#This Row],[Categoria]])&amp;" - "&amp;TabCategoria[[#This Row],[Subcategoria]]</f>
        <v>SERVIÇOS FINANCEIROS - Anuidade Cartão Crédito</v>
      </c>
      <c r="C91" t="s">
        <v>17</v>
      </c>
      <c r="D91" t="s">
        <v>40</v>
      </c>
      <c r="E91" t="s">
        <v>114</v>
      </c>
      <c r="F91" t="s">
        <v>116</v>
      </c>
      <c r="G91" s="51"/>
    </row>
    <row r="92" spans="2:7" x14ac:dyDescent="0.3">
      <c r="B92" t="str">
        <f>UPPER(TabCategoria[[#This Row],[Categoria]])&amp;" - "&amp;TabCategoria[[#This Row],[Subcategoria]]</f>
        <v>SERVIÇOS FINANCEIROS - Planejamento Financeiro Pessoal</v>
      </c>
      <c r="C92" t="s">
        <v>17</v>
      </c>
      <c r="D92" t="s">
        <v>40</v>
      </c>
      <c r="E92" t="s">
        <v>114</v>
      </c>
      <c r="F92" t="s">
        <v>117</v>
      </c>
      <c r="G92" s="51"/>
    </row>
    <row r="93" spans="2:7" x14ac:dyDescent="0.3">
      <c r="B93" t="str">
        <f>UPPER(TabCategoria[[#This Row],[Categoria]])&amp;" - "&amp;TabCategoria[[#This Row],[Subcategoria]]</f>
        <v>SERVIÇOS FINANCEIROS - Outros Financeiros</v>
      </c>
      <c r="C93" t="s">
        <v>17</v>
      </c>
      <c r="D93" t="s">
        <v>40</v>
      </c>
      <c r="E93" t="s">
        <v>114</v>
      </c>
      <c r="F93" t="s">
        <v>118</v>
      </c>
      <c r="G93" s="51"/>
    </row>
    <row r="94" spans="2:7" x14ac:dyDescent="0.3">
      <c r="B94" t="str">
        <f>UPPER(TabCategoria[[#This Row],[Categoria]])&amp;" - "&amp;TabCategoria[[#This Row],[Subcategoria]]</f>
        <v>EMPRESA - Assessoria Contábil</v>
      </c>
      <c r="C94" t="s">
        <v>17</v>
      </c>
      <c r="D94" t="s">
        <v>40</v>
      </c>
      <c r="E94" t="s">
        <v>119</v>
      </c>
      <c r="F94" t="s">
        <v>120</v>
      </c>
      <c r="G94" s="51"/>
    </row>
    <row r="95" spans="2:7" x14ac:dyDescent="0.3">
      <c r="B95" t="str">
        <f>UPPER(TabCategoria[[#This Row],[Categoria]])&amp;" - "&amp;TabCategoria[[#This Row],[Subcategoria]]</f>
        <v>EMPRESA - Despesas da Empresa</v>
      </c>
      <c r="C95" t="s">
        <v>17</v>
      </c>
      <c r="D95" t="s">
        <v>40</v>
      </c>
      <c r="E95" t="s">
        <v>119</v>
      </c>
      <c r="F95" t="s">
        <v>121</v>
      </c>
      <c r="G95" s="51"/>
    </row>
    <row r="96" spans="2:7" x14ac:dyDescent="0.3">
      <c r="B96" t="str">
        <f>UPPER(TabCategoria[[#This Row],[Categoria]])&amp;" - "&amp;TabCategoria[[#This Row],[Subcategoria]]</f>
        <v>EMPRESA - Capital de Giro</v>
      </c>
      <c r="C96" t="s">
        <v>17</v>
      </c>
      <c r="D96" t="s">
        <v>40</v>
      </c>
      <c r="E96" t="s">
        <v>119</v>
      </c>
      <c r="F96" t="s">
        <v>122</v>
      </c>
      <c r="G96" s="51"/>
    </row>
    <row r="97" spans="2:7" x14ac:dyDescent="0.3">
      <c r="B97" t="str">
        <f>UPPER(TabCategoria[[#This Row],[Categoria]])&amp;" - "&amp;TabCategoria[[#This Row],[Subcategoria]]</f>
        <v>EMPRESA - Outros Empresa</v>
      </c>
      <c r="C97" t="s">
        <v>17</v>
      </c>
      <c r="D97" t="s">
        <v>40</v>
      </c>
      <c r="E97" t="s">
        <v>119</v>
      </c>
      <c r="F97" t="s">
        <v>123</v>
      </c>
      <c r="G97" s="51"/>
    </row>
    <row r="98" spans="2:7" x14ac:dyDescent="0.3">
      <c r="B98" t="str">
        <f>UPPER(TabCategoria[[#This Row],[Categoria]])&amp;" - "&amp;TabCategoria[[#This Row],[Subcategoria]]</f>
        <v>DEPENDENTES - Educação (colégio, faculdade)</v>
      </c>
      <c r="C98" t="s">
        <v>17</v>
      </c>
      <c r="D98" t="s">
        <v>40</v>
      </c>
      <c r="E98" t="s">
        <v>124</v>
      </c>
      <c r="F98" t="s">
        <v>125</v>
      </c>
      <c r="G98" s="51"/>
    </row>
    <row r="99" spans="2:7" x14ac:dyDescent="0.3">
      <c r="B99" t="str">
        <f>UPPER(TabCategoria[[#This Row],[Categoria]])&amp;" - "&amp;TabCategoria[[#This Row],[Subcategoria]]</f>
        <v>DEPENDENTES - Rematrícula e Uniforme</v>
      </c>
      <c r="C99" t="s">
        <v>17</v>
      </c>
      <c r="D99" t="s">
        <v>40</v>
      </c>
      <c r="E99" t="s">
        <v>124</v>
      </c>
      <c r="F99" t="s">
        <v>126</v>
      </c>
      <c r="G99" s="51"/>
    </row>
    <row r="100" spans="2:7" x14ac:dyDescent="0.3">
      <c r="B100" t="str">
        <f>UPPER(TabCategoria[[#This Row],[Categoria]])&amp;" - "&amp;TabCategoria[[#This Row],[Subcategoria]]</f>
        <v>DEPENDENTES - Cursos (idiomas, música, teatro, etc.)</v>
      </c>
      <c r="C100" t="s">
        <v>17</v>
      </c>
      <c r="D100" t="s">
        <v>40</v>
      </c>
      <c r="E100" t="s">
        <v>124</v>
      </c>
      <c r="F100" t="s">
        <v>127</v>
      </c>
      <c r="G100" s="51"/>
    </row>
    <row r="101" spans="2:7" x14ac:dyDescent="0.3">
      <c r="B101" t="str">
        <f>UPPER(TabCategoria[[#This Row],[Categoria]])&amp;" - "&amp;TabCategoria[[#This Row],[Subcategoria]]</f>
        <v>DEPENDENTES - Vestuário / Calçados / Acessórios Dep</v>
      </c>
      <c r="C101" t="s">
        <v>17</v>
      </c>
      <c r="D101" t="s">
        <v>40</v>
      </c>
      <c r="E101" t="s">
        <v>124</v>
      </c>
      <c r="F101" t="s">
        <v>128</v>
      </c>
      <c r="G101" s="51"/>
    </row>
    <row r="102" spans="2:7" x14ac:dyDescent="0.3">
      <c r="B102" t="str">
        <f>UPPER(TabCategoria[[#This Row],[Categoria]])&amp;" - "&amp;TabCategoria[[#This Row],[Subcategoria]]</f>
        <v>DEPENDENTES - Presentes / Festa de Aniversário</v>
      </c>
      <c r="C102" t="s">
        <v>17</v>
      </c>
      <c r="D102" t="s">
        <v>40</v>
      </c>
      <c r="E102" t="s">
        <v>124</v>
      </c>
      <c r="F102" t="s">
        <v>129</v>
      </c>
      <c r="G102" s="51"/>
    </row>
    <row r="103" spans="2:7" x14ac:dyDescent="0.3">
      <c r="B103" t="str">
        <f>UPPER(TabCategoria[[#This Row],[Categoria]])&amp;" - "&amp;TabCategoria[[#This Row],[Subcategoria]]</f>
        <v>DEPENDENTES - Academia / Esportes Dependentes</v>
      </c>
      <c r="C103" t="s">
        <v>17</v>
      </c>
      <c r="D103" t="s">
        <v>40</v>
      </c>
      <c r="E103" t="s">
        <v>124</v>
      </c>
      <c r="F103" t="s">
        <v>130</v>
      </c>
      <c r="G103" s="51"/>
    </row>
    <row r="104" spans="2:7" x14ac:dyDescent="0.3">
      <c r="B104" t="str">
        <f>UPPER(TabCategoria[[#This Row],[Categoria]])&amp;" - "&amp;TabCategoria[[#This Row],[Subcategoria]]</f>
        <v>DEPENDENTES - Mesada</v>
      </c>
      <c r="C104" t="s">
        <v>17</v>
      </c>
      <c r="D104" t="s">
        <v>40</v>
      </c>
      <c r="E104" t="s">
        <v>124</v>
      </c>
      <c r="F104" t="s">
        <v>131</v>
      </c>
      <c r="G104" s="51"/>
    </row>
    <row r="105" spans="2:7" x14ac:dyDescent="0.3">
      <c r="B105" t="str">
        <f>UPPER(TabCategoria[[#This Row],[Categoria]])&amp;" - "&amp;TabCategoria[[#This Row],[Subcategoria]]</f>
        <v>DEPENDENTES - Auxílio para parentes</v>
      </c>
      <c r="C105" t="s">
        <v>17</v>
      </c>
      <c r="D105" t="s">
        <v>40</v>
      </c>
      <c r="E105" t="s">
        <v>124</v>
      </c>
      <c r="F105" t="s">
        <v>132</v>
      </c>
      <c r="G105" s="51"/>
    </row>
    <row r="106" spans="2:7" x14ac:dyDescent="0.3">
      <c r="B106" t="str">
        <f>UPPER(TabCategoria[[#This Row],[Categoria]])&amp;" - "&amp;TabCategoria[[#This Row],[Subcategoria]]</f>
        <v>DEPENDENTES - Auxílio para amigos</v>
      </c>
      <c r="C106" t="s">
        <v>17</v>
      </c>
      <c r="D106" t="s">
        <v>40</v>
      </c>
      <c r="E106" t="s">
        <v>124</v>
      </c>
      <c r="F106" t="s">
        <v>133</v>
      </c>
      <c r="G106" s="51"/>
    </row>
    <row r="107" spans="2:7" x14ac:dyDescent="0.3">
      <c r="B107" t="str">
        <f>UPPER(TabCategoria[[#This Row],[Categoria]])&amp;" - "&amp;TabCategoria[[#This Row],[Subcategoria]]</f>
        <v>DEPENDENTES - Outros Dependentes</v>
      </c>
      <c r="C107" t="s">
        <v>17</v>
      </c>
      <c r="D107" t="s">
        <v>40</v>
      </c>
      <c r="E107" t="s">
        <v>124</v>
      </c>
      <c r="F107" t="s">
        <v>134</v>
      </c>
      <c r="G107" s="51"/>
    </row>
    <row r="108" spans="2:7" x14ac:dyDescent="0.3">
      <c r="B108" t="str">
        <f>UPPER(TabCategoria[[#This Row],[Categoria]])&amp;" - "&amp;TabCategoria[[#This Row],[Subcategoria]]</f>
        <v>DIVERSOS - Animais de estimação</v>
      </c>
      <c r="C108" t="s">
        <v>17</v>
      </c>
      <c r="D108" t="s">
        <v>40</v>
      </c>
      <c r="E108" t="s">
        <v>135</v>
      </c>
      <c r="F108" t="s">
        <v>136</v>
      </c>
      <c r="G108" s="51"/>
    </row>
    <row r="109" spans="2:7" x14ac:dyDescent="0.3">
      <c r="B109" t="str">
        <f>UPPER(TabCategoria[[#This Row],[Categoria]])&amp;" - "&amp;TabCategoria[[#This Row],[Subcategoria]]</f>
        <v>DIVERSOS - Presentes</v>
      </c>
      <c r="C109" t="s">
        <v>17</v>
      </c>
      <c r="D109" t="s">
        <v>40</v>
      </c>
      <c r="E109" t="s">
        <v>135</v>
      </c>
      <c r="F109" t="s">
        <v>137</v>
      </c>
      <c r="G109" s="51"/>
    </row>
    <row r="110" spans="2:7" x14ac:dyDescent="0.3">
      <c r="B110" t="str">
        <f>UPPER(TabCategoria[[#This Row],[Categoria]])&amp;" - "&amp;TabCategoria[[#This Row],[Subcategoria]]</f>
        <v>DIVERSOS - Doações</v>
      </c>
      <c r="C110" t="s">
        <v>17</v>
      </c>
      <c r="D110" t="s">
        <v>40</v>
      </c>
      <c r="E110" t="s">
        <v>135</v>
      </c>
      <c r="F110" t="s">
        <v>138</v>
      </c>
      <c r="G110" s="51"/>
    </row>
    <row r="111" spans="2:7" x14ac:dyDescent="0.3">
      <c r="B111" t="str">
        <f>UPPER(TabCategoria[[#This Row],[Categoria]])&amp;" - "&amp;TabCategoria[[#This Row],[Subcategoria]]</f>
        <v>DIVERSOS - Loteria / Capitalização</v>
      </c>
      <c r="C111" t="s">
        <v>17</v>
      </c>
      <c r="D111" t="s">
        <v>40</v>
      </c>
      <c r="E111" t="s">
        <v>135</v>
      </c>
      <c r="F111" t="s">
        <v>139</v>
      </c>
      <c r="G111" s="51"/>
    </row>
    <row r="112" spans="2:7" x14ac:dyDescent="0.3">
      <c r="B112" t="str">
        <f>UPPER(TabCategoria[[#This Row],[Categoria]])&amp;" - "&amp;TabCategoria[[#This Row],[Subcategoria]]</f>
        <v>DIVERSOS - Outros Diversos</v>
      </c>
      <c r="C112" t="s">
        <v>17</v>
      </c>
      <c r="D112" t="s">
        <v>40</v>
      </c>
      <c r="E112" t="s">
        <v>135</v>
      </c>
      <c r="F112" t="s">
        <v>140</v>
      </c>
      <c r="G112" s="51"/>
    </row>
    <row r="113" spans="2:7" x14ac:dyDescent="0.3">
      <c r="B113" t="str">
        <f>UPPER(TabCategoria[[#This Row],[Categoria]])&amp;" - "&amp;TabCategoria[[#This Row],[Subcategoria]]</f>
        <v>RESGATES - Poupança</v>
      </c>
      <c r="C113" t="s">
        <v>141</v>
      </c>
      <c r="D113" t="s">
        <v>18</v>
      </c>
      <c r="E113" t="s">
        <v>142</v>
      </c>
      <c r="F113" t="s">
        <v>143</v>
      </c>
      <c r="G113" s="51"/>
    </row>
    <row r="114" spans="2:7" x14ac:dyDescent="0.3">
      <c r="B114" t="str">
        <f>UPPER(TabCategoria[[#This Row],[Categoria]])&amp;" - "&amp;TabCategoria[[#This Row],[Subcategoria]]</f>
        <v>RESGATES - Aplicações Financeiras</v>
      </c>
      <c r="C114" t="s">
        <v>141</v>
      </c>
      <c r="D114" t="s">
        <v>18</v>
      </c>
      <c r="E114" t="s">
        <v>142</v>
      </c>
      <c r="F114" t="s">
        <v>144</v>
      </c>
      <c r="G114" s="51"/>
    </row>
    <row r="115" spans="2:7" x14ac:dyDescent="0.3">
      <c r="B115" t="str">
        <f>UPPER(TabCategoria[[#This Row],[Categoria]])&amp;" - "&amp;TabCategoria[[#This Row],[Subcategoria]]</f>
        <v>RESGATES - Venda de Objetos</v>
      </c>
      <c r="C115" t="s">
        <v>141</v>
      </c>
      <c r="D115" t="s">
        <v>18</v>
      </c>
      <c r="E115" t="s">
        <v>142</v>
      </c>
      <c r="F115" t="s">
        <v>145</v>
      </c>
      <c r="G115" s="51"/>
    </row>
    <row r="116" spans="2:7" x14ac:dyDescent="0.3">
      <c r="B116" t="str">
        <f>UPPER(TabCategoria[[#This Row],[Categoria]])&amp;" - "&amp;TabCategoria[[#This Row],[Subcategoria]]</f>
        <v>PREVIDÊNCIA - Previdência Privada Empresa</v>
      </c>
      <c r="C116" t="s">
        <v>141</v>
      </c>
      <c r="D116" t="s">
        <v>40</v>
      </c>
      <c r="E116" t="s">
        <v>146</v>
      </c>
      <c r="F116" t="s">
        <v>147</v>
      </c>
      <c r="G116" s="51"/>
    </row>
    <row r="117" spans="2:7" x14ac:dyDescent="0.3">
      <c r="B117" t="str">
        <f>UPPER(TabCategoria[[#This Row],[Categoria]])&amp;" - "&amp;TabCategoria[[#This Row],[Subcategoria]]</f>
        <v>PREVIDÊNCIA - Previdência Privada Avulsa</v>
      </c>
      <c r="C117" t="s">
        <v>141</v>
      </c>
      <c r="D117" t="s">
        <v>40</v>
      </c>
      <c r="E117" t="s">
        <v>146</v>
      </c>
      <c r="F117" t="s">
        <v>148</v>
      </c>
      <c r="G117" s="51"/>
    </row>
    <row r="118" spans="2:7" x14ac:dyDescent="0.3">
      <c r="B118" t="str">
        <f>UPPER(TabCategoria[[#This Row],[Categoria]])&amp;" - "&amp;TabCategoria[[#This Row],[Subcategoria]]</f>
        <v>PREVIDÊNCIA - Previdência Privada Dependentes</v>
      </c>
      <c r="C118" t="s">
        <v>141</v>
      </c>
      <c r="D118" t="s">
        <v>40</v>
      </c>
      <c r="E118" t="s">
        <v>146</v>
      </c>
      <c r="F118" t="s">
        <v>149</v>
      </c>
      <c r="G118" s="51"/>
    </row>
    <row r="119" spans="2:7" x14ac:dyDescent="0.3">
      <c r="B119" t="str">
        <f>UPPER(TabCategoria[[#This Row],[Categoria]])&amp;" - "&amp;TabCategoria[[#This Row],[Subcategoria]]</f>
        <v>PREVIDÊNCIA - Outros Previdência</v>
      </c>
      <c r="C119" t="s">
        <v>141</v>
      </c>
      <c r="D119" t="s">
        <v>40</v>
      </c>
      <c r="E119" t="s">
        <v>146</v>
      </c>
      <c r="F119" t="s">
        <v>150</v>
      </c>
      <c r="G119" s="51"/>
    </row>
    <row r="120" spans="2:7" x14ac:dyDescent="0.3">
      <c r="B120" t="str">
        <f>UPPER(TabCategoria[[#This Row],[Categoria]])&amp;" - "&amp;TabCategoria[[#This Row],[Subcategoria]]</f>
        <v>SEGURO DE VIDA - Seguro de Vida Principal Provedor</v>
      </c>
      <c r="C120" t="s">
        <v>141</v>
      </c>
      <c r="D120" t="s">
        <v>40</v>
      </c>
      <c r="E120" t="s">
        <v>151</v>
      </c>
      <c r="F120" t="s">
        <v>152</v>
      </c>
      <c r="G120" s="51"/>
    </row>
    <row r="121" spans="2:7" x14ac:dyDescent="0.3">
      <c r="B121" t="str">
        <f>UPPER(TabCategoria[[#This Row],[Categoria]])&amp;" - "&amp;TabCategoria[[#This Row],[Subcategoria]]</f>
        <v>SEGURO DE VIDA - Seguro de Vida Cônjuge</v>
      </c>
      <c r="C121" t="s">
        <v>141</v>
      </c>
      <c r="D121" t="s">
        <v>40</v>
      </c>
      <c r="E121" t="s">
        <v>151</v>
      </c>
      <c r="F121" t="s">
        <v>153</v>
      </c>
      <c r="G121" s="51"/>
    </row>
    <row r="122" spans="2:7" x14ac:dyDescent="0.3">
      <c r="B122" t="str">
        <f>UPPER(TabCategoria[[#This Row],[Categoria]])&amp;" - "&amp;TabCategoria[[#This Row],[Subcategoria]]</f>
        <v>SEGURO DE VIDA - Outros Seguro de Vida</v>
      </c>
      <c r="C122" t="s">
        <v>141</v>
      </c>
      <c r="D122" t="s">
        <v>40</v>
      </c>
      <c r="E122" t="s">
        <v>151</v>
      </c>
      <c r="F122" t="s">
        <v>154</v>
      </c>
      <c r="G122" s="51"/>
    </row>
    <row r="123" spans="2:7" x14ac:dyDescent="0.3">
      <c r="B123" t="str">
        <f>UPPER(TabCategoria[[#This Row],[Categoria]])&amp;" - "&amp;TabCategoria[[#This Row],[Subcategoria]]</f>
        <v>OUTROS SEGUROS - DIT / Doenças graves</v>
      </c>
      <c r="C123" t="s">
        <v>141</v>
      </c>
      <c r="D123" t="s">
        <v>40</v>
      </c>
      <c r="E123" t="s">
        <v>155</v>
      </c>
      <c r="F123" t="s">
        <v>156</v>
      </c>
      <c r="G123" s="51"/>
    </row>
    <row r="124" spans="2:7" x14ac:dyDescent="0.3">
      <c r="B124" t="str">
        <f>UPPER(TabCategoria[[#This Row],[Categoria]])&amp;" - "&amp;TabCategoria[[#This Row],[Subcategoria]]</f>
        <v>OUTROS SEGUROS - Responsabilidade Civil / Outros</v>
      </c>
      <c r="C124" t="s">
        <v>141</v>
      </c>
      <c r="D124" t="s">
        <v>40</v>
      </c>
      <c r="E124" t="s">
        <v>155</v>
      </c>
      <c r="F124" t="s">
        <v>157</v>
      </c>
      <c r="G124" s="51"/>
    </row>
    <row r="125" spans="2:7" x14ac:dyDescent="0.3">
      <c r="B125" t="str">
        <f>UPPER(TabCategoria[[#This Row],[Categoria]])&amp;" - "&amp;TabCategoria[[#This Row],[Subcategoria]]</f>
        <v>OUTROS SEGUROS - Outros Outros Seguros</v>
      </c>
      <c r="C125" t="s">
        <v>141</v>
      </c>
      <c r="D125" t="s">
        <v>40</v>
      </c>
      <c r="E125" t="s">
        <v>155</v>
      </c>
      <c r="F125" t="s">
        <v>158</v>
      </c>
      <c r="G125" s="51"/>
    </row>
    <row r="126" spans="2:7" x14ac:dyDescent="0.3">
      <c r="B126" t="str">
        <f>UPPER(TabCategoria[[#This Row],[Categoria]])&amp;" - "&amp;TabCategoria[[#This Row],[Subcategoria]]</f>
        <v>FINANCIAMENTO - Financiamento Automóvel</v>
      </c>
      <c r="C126" t="s">
        <v>141</v>
      </c>
      <c r="D126" t="s">
        <v>40</v>
      </c>
      <c r="E126" t="s">
        <v>159</v>
      </c>
      <c r="F126" t="s">
        <v>160</v>
      </c>
      <c r="G126" s="51"/>
    </row>
    <row r="127" spans="2:7" x14ac:dyDescent="0.3">
      <c r="B127" t="str">
        <f>UPPER(TabCategoria[[#This Row],[Categoria]])&amp;" - "&amp;TabCategoria[[#This Row],[Subcategoria]]</f>
        <v>FINANCIAMENTO - Financiamento Imóvel</v>
      </c>
      <c r="C127" t="s">
        <v>141</v>
      </c>
      <c r="D127" t="s">
        <v>40</v>
      </c>
      <c r="E127" t="s">
        <v>159</v>
      </c>
      <c r="F127" t="s">
        <v>161</v>
      </c>
      <c r="G127" s="51"/>
    </row>
    <row r="128" spans="2:7" x14ac:dyDescent="0.3">
      <c r="B128" t="str">
        <f>UPPER(TabCategoria[[#This Row],[Categoria]])&amp;" - "&amp;TabCategoria[[#This Row],[Subcategoria]]</f>
        <v>FINANCIAMENTO - Financiamento Outros Bens</v>
      </c>
      <c r="C128" t="s">
        <v>141</v>
      </c>
      <c r="D128" t="s">
        <v>40</v>
      </c>
      <c r="E128" t="s">
        <v>159</v>
      </c>
      <c r="F128" t="s">
        <v>162</v>
      </c>
      <c r="G128" s="51"/>
    </row>
    <row r="129" spans="2:7" x14ac:dyDescent="0.3">
      <c r="B129" t="str">
        <f>UPPER(TabCategoria[[#This Row],[Categoria]])&amp;" - "&amp;TabCategoria[[#This Row],[Subcategoria]]</f>
        <v>FINANCIAMENTO - Consórcios</v>
      </c>
      <c r="C129" t="s">
        <v>141</v>
      </c>
      <c r="D129" t="s">
        <v>40</v>
      </c>
      <c r="E129" t="s">
        <v>159</v>
      </c>
      <c r="F129" t="s">
        <v>163</v>
      </c>
      <c r="G129" s="51"/>
    </row>
    <row r="130" spans="2:7" x14ac:dyDescent="0.3">
      <c r="B130" t="str">
        <f>UPPER(TabCategoria[[#This Row],[Categoria]])&amp;" - "&amp;TabCategoria[[#This Row],[Subcategoria]]</f>
        <v>FINANCIAMENTO - Outros Financiamento</v>
      </c>
      <c r="C130" t="s">
        <v>141</v>
      </c>
      <c r="D130" t="s">
        <v>40</v>
      </c>
      <c r="E130" t="s">
        <v>159</v>
      </c>
      <c r="F130" t="s">
        <v>164</v>
      </c>
      <c r="G130" s="51"/>
    </row>
    <row r="131" spans="2:7" x14ac:dyDescent="0.3">
      <c r="B131" t="str">
        <f>UPPER(TabCategoria[[#This Row],[Categoria]])&amp;" - "&amp;TabCategoria[[#This Row],[Subcategoria]]</f>
        <v>EMPRÉSTIMO - Empréstimo Pessoal - Banco</v>
      </c>
      <c r="C131" t="s">
        <v>141</v>
      </c>
      <c r="D131" t="s">
        <v>40</v>
      </c>
      <c r="E131" t="s">
        <v>165</v>
      </c>
      <c r="F131" t="s">
        <v>166</v>
      </c>
      <c r="G131" s="51"/>
    </row>
    <row r="132" spans="2:7" x14ac:dyDescent="0.3">
      <c r="B132" t="str">
        <f>UPPER(TabCategoria[[#This Row],[Categoria]])&amp;" - "&amp;TabCategoria[[#This Row],[Subcategoria]]</f>
        <v>EMPRÉSTIMO - Empréstimo Pessoal - Família</v>
      </c>
      <c r="C132" t="s">
        <v>141</v>
      </c>
      <c r="D132" t="s">
        <v>40</v>
      </c>
      <c r="E132" t="s">
        <v>165</v>
      </c>
      <c r="F132" t="s">
        <v>167</v>
      </c>
      <c r="G132" s="51"/>
    </row>
    <row r="133" spans="2:7" x14ac:dyDescent="0.3">
      <c r="B133" t="str">
        <f>UPPER(TabCategoria[[#This Row],[Categoria]])&amp;" - "&amp;TabCategoria[[#This Row],[Subcategoria]]</f>
        <v>EMPRÉSTIMO - Empréstimo Pessoal - Outros</v>
      </c>
      <c r="C133" t="s">
        <v>141</v>
      </c>
      <c r="D133" t="s">
        <v>40</v>
      </c>
      <c r="E133" t="s">
        <v>165</v>
      </c>
      <c r="F133" t="s">
        <v>168</v>
      </c>
      <c r="G133" s="51"/>
    </row>
    <row r="134" spans="2:7" x14ac:dyDescent="0.3">
      <c r="B134" t="str">
        <f>UPPER(TabCategoria[[#This Row],[Categoria]])&amp;" - "&amp;TabCategoria[[#This Row],[Subcategoria]]</f>
        <v>EMPRÉSTIMO - Parcelamento Cartão de Crédito</v>
      </c>
      <c r="C134" t="s">
        <v>141</v>
      </c>
      <c r="D134" t="s">
        <v>40</v>
      </c>
      <c r="E134" t="s">
        <v>165</v>
      </c>
      <c r="F134" t="s">
        <v>169</v>
      </c>
      <c r="G134" s="51"/>
    </row>
    <row r="135" spans="2:7" x14ac:dyDescent="0.3">
      <c r="B135" t="str">
        <f>UPPER(TabCategoria[[#This Row],[Categoria]])&amp;" - "&amp;TabCategoria[[#This Row],[Subcategoria]]</f>
        <v>EMPRÉSTIMO - Renegociações de Dívidas</v>
      </c>
      <c r="C135" t="s">
        <v>141</v>
      </c>
      <c r="D135" t="s">
        <v>40</v>
      </c>
      <c r="E135" t="s">
        <v>165</v>
      </c>
      <c r="F135" t="s">
        <v>170</v>
      </c>
      <c r="G135" s="51"/>
    </row>
    <row r="136" spans="2:7" x14ac:dyDescent="0.3">
      <c r="B136" t="str">
        <f>UPPER(TabCategoria[[#This Row],[Categoria]])&amp;" - "&amp;TabCategoria[[#This Row],[Subcategoria]]</f>
        <v>EMPRÉSTIMO - Juros Cheque Especial</v>
      </c>
      <c r="C136" t="s">
        <v>141</v>
      </c>
      <c r="D136" t="s">
        <v>40</v>
      </c>
      <c r="E136" t="s">
        <v>165</v>
      </c>
      <c r="F136" t="s">
        <v>171</v>
      </c>
      <c r="G136" s="51"/>
    </row>
    <row r="137" spans="2:7" x14ac:dyDescent="0.3">
      <c r="B137" t="str">
        <f>UPPER(TabCategoria[[#This Row],[Categoria]])&amp;" - "&amp;TabCategoria[[#This Row],[Subcategoria]]</f>
        <v>EMPRÉSTIMO - Juros Cartão de Crédito</v>
      </c>
      <c r="C137" t="s">
        <v>141</v>
      </c>
      <c r="D137" t="s">
        <v>40</v>
      </c>
      <c r="E137" t="s">
        <v>165</v>
      </c>
      <c r="F137" t="s">
        <v>172</v>
      </c>
      <c r="G137" s="51"/>
    </row>
    <row r="138" spans="2:7" x14ac:dyDescent="0.3">
      <c r="B138" t="str">
        <f>UPPER(TabCategoria[[#This Row],[Categoria]])&amp;" - "&amp;TabCategoria[[#This Row],[Subcategoria]]</f>
        <v>EMPRÉSTIMO - Encargos Financeiros</v>
      </c>
      <c r="C138" t="s">
        <v>141</v>
      </c>
      <c r="D138" t="s">
        <v>40</v>
      </c>
      <c r="E138" t="s">
        <v>165</v>
      </c>
      <c r="F138" t="s">
        <v>173</v>
      </c>
      <c r="G138" s="51"/>
    </row>
    <row r="139" spans="2:7" x14ac:dyDescent="0.3">
      <c r="B139" t="str">
        <f>UPPER(TabCategoria[[#This Row],[Categoria]])&amp;" - "&amp;TabCategoria[[#This Row],[Subcategoria]]</f>
        <v>EMPRÉSTIMO - Outros Empréstimo</v>
      </c>
      <c r="C139" t="s">
        <v>141</v>
      </c>
      <c r="D139" t="s">
        <v>40</v>
      </c>
      <c r="E139" t="s">
        <v>165</v>
      </c>
      <c r="F139" t="s">
        <v>174</v>
      </c>
      <c r="G139" s="51"/>
    </row>
    <row r="140" spans="2:7" x14ac:dyDescent="0.3">
      <c r="B140" t="str">
        <f>UPPER(TabCategoria[[#This Row],[Categoria]])&amp;" - "&amp;TabCategoria[[#This Row],[Subcategoria]]</f>
        <v>INVESTIMENTOS - Aplicação para Reserva</v>
      </c>
      <c r="C140" t="s">
        <v>141</v>
      </c>
      <c r="D140" t="s">
        <v>40</v>
      </c>
      <c r="E140" t="s">
        <v>175</v>
      </c>
      <c r="F140" t="s">
        <v>176</v>
      </c>
      <c r="G140" s="51"/>
    </row>
    <row r="141" spans="2:7" x14ac:dyDescent="0.3">
      <c r="B141" t="str">
        <f>UPPER(TabCategoria[[#This Row],[Categoria]])&amp;" - "&amp;TabCategoria[[#This Row],[Subcategoria]]</f>
        <v>INVESTIMENTOS - Projeto 1</v>
      </c>
      <c r="C141" t="s">
        <v>141</v>
      </c>
      <c r="D141" t="s">
        <v>40</v>
      </c>
      <c r="E141" t="s">
        <v>175</v>
      </c>
      <c r="F141" t="s">
        <v>177</v>
      </c>
      <c r="G141" s="51"/>
    </row>
    <row r="142" spans="2:7" x14ac:dyDescent="0.3">
      <c r="B142" t="str">
        <f>UPPER(TabCategoria[[#This Row],[Categoria]])&amp;" - "&amp;TabCategoria[[#This Row],[Subcategoria]]</f>
        <v>INVESTIMENTOS - Projeto 2</v>
      </c>
      <c r="C142" t="s">
        <v>141</v>
      </c>
      <c r="D142" t="s">
        <v>40</v>
      </c>
      <c r="E142" t="s">
        <v>175</v>
      </c>
      <c r="F142" t="s">
        <v>178</v>
      </c>
      <c r="G142" s="51"/>
    </row>
    <row r="143" spans="2:7" x14ac:dyDescent="0.3">
      <c r="B143" t="str">
        <f>UPPER(TabCategoria[[#This Row],[Categoria]])&amp;" - "&amp;TabCategoria[[#This Row],[Subcategoria]]</f>
        <v>INVESTIMENTOS - Projeto 3</v>
      </c>
      <c r="C143" t="s">
        <v>141</v>
      </c>
      <c r="D143" t="s">
        <v>40</v>
      </c>
      <c r="E143" t="s">
        <v>175</v>
      </c>
      <c r="F143" t="s">
        <v>179</v>
      </c>
      <c r="G143" s="51"/>
    </row>
    <row r="144" spans="2:7" x14ac:dyDescent="0.3">
      <c r="B144" t="str">
        <f>UPPER(TabCategoria[[#This Row],[Categoria]])&amp;" - "&amp;TabCategoria[[#This Row],[Subcategoria]]</f>
        <v>PESSOAIS - AGUA E LUZ</v>
      </c>
      <c r="C144" t="s">
        <v>141</v>
      </c>
      <c r="D144" t="s">
        <v>40</v>
      </c>
      <c r="E144" t="s">
        <v>91</v>
      </c>
      <c r="F144" t="s">
        <v>256</v>
      </c>
      <c r="G144" s="51"/>
    </row>
    <row r="145" spans="2:7" x14ac:dyDescent="0.3">
      <c r="B145" t="str">
        <f>UPPER(TabCategoria[[#This Row],[Categoria]])&amp;" - "&amp;TabCategoria[[#This Row],[Subcategoria]]</f>
        <v>PESSOAIS - GASOLINA</v>
      </c>
      <c r="C145" t="s">
        <v>141</v>
      </c>
      <c r="D145" t="s">
        <v>40</v>
      </c>
      <c r="E145" t="s">
        <v>91</v>
      </c>
      <c r="F145" t="s">
        <v>257</v>
      </c>
      <c r="G145" s="51"/>
    </row>
    <row r="146" spans="2:7" x14ac:dyDescent="0.3">
      <c r="B146" t="str">
        <f>UPPER(TabCategoria[[#This Row],[Categoria]])&amp;" - "&amp;TabCategoria[[#This Row],[Subcategoria]]</f>
        <v>PESSOAIS - INTERNET CASA</v>
      </c>
      <c r="C146" t="s">
        <v>141</v>
      </c>
      <c r="D146" t="s">
        <v>40</v>
      </c>
      <c r="E146" t="s">
        <v>91</v>
      </c>
      <c r="F146" t="s">
        <v>258</v>
      </c>
      <c r="G146" s="51"/>
    </row>
    <row r="147" spans="2:7" x14ac:dyDescent="0.3">
      <c r="B147" t="str">
        <f>UPPER(TabCategoria[[#This Row],[Categoria]])&amp;" - "&amp;TabCategoria[[#This Row],[Subcategoria]]</f>
        <v>PESSOAIS - INTERNET CELULAR</v>
      </c>
      <c r="C147" t="s">
        <v>141</v>
      </c>
      <c r="D147" t="s">
        <v>40</v>
      </c>
      <c r="E147" t="s">
        <v>91</v>
      </c>
      <c r="F147" t="s">
        <v>259</v>
      </c>
      <c r="G147" s="51"/>
    </row>
    <row r="148" spans="2:7" x14ac:dyDescent="0.3">
      <c r="B148" t="str">
        <f>UPPER(TabCategoria[[#This Row],[Categoria]])&amp;" - "&amp;TabCategoria[[#This Row],[Subcategoria]]</f>
        <v>PESSOAIS - SPOTIFY</v>
      </c>
      <c r="C148" t="s">
        <v>141</v>
      </c>
      <c r="D148" t="s">
        <v>40</v>
      </c>
      <c r="E148" t="s">
        <v>91</v>
      </c>
      <c r="F148" t="s">
        <v>260</v>
      </c>
      <c r="G148" s="51"/>
    </row>
    <row r="149" spans="2:7" x14ac:dyDescent="0.3">
      <c r="B149" t="str">
        <f>UPPER(TabCategoria[[#This Row],[Categoria]])&amp;" - "&amp;TabCategoria[[#This Row],[Subcategoria]]</f>
        <v>LAZER - KINDLE</v>
      </c>
      <c r="C149" t="s">
        <v>141</v>
      </c>
      <c r="D149" t="s">
        <v>40</v>
      </c>
      <c r="E149" t="s">
        <v>107</v>
      </c>
      <c r="F149" t="s">
        <v>261</v>
      </c>
      <c r="G149" s="51"/>
    </row>
    <row r="150" spans="2:7" x14ac:dyDescent="0.3">
      <c r="B150" t="str">
        <f>UPPER(TabCategoria[[#This Row],[Categoria]])&amp;" - "&amp;TabCategoria[[#This Row],[Subcategoria]]</f>
        <v>LAZER - CANVA</v>
      </c>
      <c r="C150" t="s">
        <v>141</v>
      </c>
      <c r="D150" t="s">
        <v>40</v>
      </c>
      <c r="E150" t="s">
        <v>107</v>
      </c>
      <c r="F150" t="s">
        <v>262</v>
      </c>
      <c r="G150" s="51"/>
    </row>
    <row r="151" spans="2:7" x14ac:dyDescent="0.3">
      <c r="B151" t="str">
        <f>UPPER(TabCategoria[[#This Row],[Categoria]])&amp;" - "&amp;TabCategoria[[#This Row],[Subcategoria]]</f>
        <v>EMPRÉSTIMO - RENNER</v>
      </c>
      <c r="C151" t="s">
        <v>141</v>
      </c>
      <c r="D151" t="s">
        <v>40</v>
      </c>
      <c r="E151" t="s">
        <v>165</v>
      </c>
      <c r="F151" t="s">
        <v>263</v>
      </c>
      <c r="G151" s="51"/>
    </row>
    <row r="152" spans="2:7" x14ac:dyDescent="0.3">
      <c r="B152" t="str">
        <f>UPPER(TabCategoria[[#This Row],[Categoria]])&amp;" - "&amp;TabCategoria[[#This Row],[Subcategoria]]</f>
        <v>LAZER - CELULAR</v>
      </c>
      <c r="C152" t="s">
        <v>141</v>
      </c>
      <c r="D152" t="s">
        <v>40</v>
      </c>
      <c r="E152" t="s">
        <v>107</v>
      </c>
      <c r="F152" t="s">
        <v>264</v>
      </c>
      <c r="G152" s="51"/>
    </row>
    <row r="153" spans="2:7" x14ac:dyDescent="0.3">
      <c r="B153" t="str">
        <f>UPPER(TabCategoria[[#This Row],[Categoria]])&amp;" - "&amp;TabCategoria[[#This Row],[Subcategoria]]</f>
        <v>LAZER - FONTE, COOLER</v>
      </c>
      <c r="C153" t="s">
        <v>141</v>
      </c>
      <c r="D153" t="s">
        <v>40</v>
      </c>
      <c r="E153" t="s">
        <v>107</v>
      </c>
      <c r="F153" t="s">
        <v>265</v>
      </c>
      <c r="G153" s="51"/>
    </row>
    <row r="154" spans="2:7" x14ac:dyDescent="0.3">
      <c r="B154" t="str">
        <f>UPPER(TabCategoria[[#This Row],[Categoria]])&amp;" - "&amp;TabCategoria[[#This Row],[Subcategoria]]</f>
        <v>EMPRÉSTIMO - CARTÃO NUBANK</v>
      </c>
      <c r="C154" t="s">
        <v>141</v>
      </c>
      <c r="D154" t="s">
        <v>40</v>
      </c>
      <c r="E154" t="s">
        <v>165</v>
      </c>
      <c r="F154" t="s">
        <v>266</v>
      </c>
      <c r="G154" s="51"/>
    </row>
    <row r="155" spans="2:7" x14ac:dyDescent="0.3">
      <c r="B155" t="str">
        <f>UPPER(TabCategoria[[#This Row],[Categoria]])&amp;" - "&amp;TabCategoria[[#This Row],[Subcategoria]]</f>
        <v>LAZER - CADEIRA</v>
      </c>
      <c r="C155" t="s">
        <v>141</v>
      </c>
      <c r="D155" t="s">
        <v>40</v>
      </c>
      <c r="E155" t="s">
        <v>107</v>
      </c>
      <c r="F155" t="s">
        <v>267</v>
      </c>
      <c r="G155" s="51"/>
    </row>
    <row r="156" spans="2:7" x14ac:dyDescent="0.3">
      <c r="B156" t="str">
        <f>UPPER(TabCategoria[[#This Row],[Categoria]])&amp;" - "&amp;TabCategoria[[#This Row],[Subcategoria]]</f>
        <v>SERVIÇOS FINANCEIROS - MAE</v>
      </c>
      <c r="C156" t="s">
        <v>141</v>
      </c>
      <c r="D156" t="s">
        <v>40</v>
      </c>
      <c r="E156" t="s">
        <v>114</v>
      </c>
      <c r="F156" t="s">
        <v>268</v>
      </c>
      <c r="G156" s="51"/>
    </row>
    <row r="157" spans="2:7" x14ac:dyDescent="0.3">
      <c r="B157" t="str">
        <f>UPPER(TabCategoria[[#This Row],[Categoria]])&amp;" - "&amp;TabCategoria[[#This Row],[Subcategoria]]</f>
        <v>LAZER - PROCESSADOR</v>
      </c>
      <c r="C157" t="s">
        <v>141</v>
      </c>
      <c r="D157" t="s">
        <v>40</v>
      </c>
      <c r="E157" t="s">
        <v>107</v>
      </c>
      <c r="F157" t="s">
        <v>269</v>
      </c>
      <c r="G157" s="51"/>
    </row>
    <row r="158" spans="2:7" x14ac:dyDescent="0.3">
      <c r="B158" t="str">
        <f>UPPER(TabCategoria[[#This Row],[Categoria]])&amp;" - "&amp;TabCategoria[[#This Row],[Subcategoria]]</f>
        <v>LAZER - APPLE</v>
      </c>
      <c r="C158" t="s">
        <v>141</v>
      </c>
      <c r="D158" t="s">
        <v>40</v>
      </c>
      <c r="E158" t="s">
        <v>107</v>
      </c>
      <c r="F158" t="s">
        <v>270</v>
      </c>
      <c r="G158" s="51"/>
    </row>
    <row r="159" spans="2:7" x14ac:dyDescent="0.3">
      <c r="B159" t="str">
        <f>UPPER(TabCategoria[[#This Row],[Categoria]])&amp;" - "&amp;TabCategoria[[#This Row],[Subcategoria]]</f>
        <v>LAZER - PLACA MAE</v>
      </c>
      <c r="C159" t="s">
        <v>141</v>
      </c>
      <c r="D159" t="s">
        <v>40</v>
      </c>
      <c r="E159" t="s">
        <v>107</v>
      </c>
      <c r="F159" t="s">
        <v>271</v>
      </c>
      <c r="G159" s="51"/>
    </row>
    <row r="160" spans="2:7" x14ac:dyDescent="0.3">
      <c r="B160" t="str">
        <f>UPPER(TabCategoria[[#This Row],[Categoria]])&amp;" - "&amp;TabCategoria[[#This Row],[Subcategoria]]</f>
        <v>LAZER - SHOPEE</v>
      </c>
      <c r="C160" t="s">
        <v>141</v>
      </c>
      <c r="D160" t="s">
        <v>40</v>
      </c>
      <c r="E160" t="s">
        <v>107</v>
      </c>
      <c r="F160" t="s">
        <v>272</v>
      </c>
      <c r="G160" s="51"/>
    </row>
    <row r="161" spans="2:7" x14ac:dyDescent="0.3">
      <c r="B161" t="str">
        <f>UPPER(TabCategoria[[#This Row],[Categoria]])&amp;" - "&amp;TabCategoria[[#This Row],[Subcategoria]]</f>
        <v>LAZER - SHEIN</v>
      </c>
      <c r="C161" t="s">
        <v>141</v>
      </c>
      <c r="D161" t="s">
        <v>40</v>
      </c>
      <c r="E161" t="s">
        <v>107</v>
      </c>
      <c r="F161" t="s">
        <v>273</v>
      </c>
      <c r="G161" s="51"/>
    </row>
    <row r="162" spans="2:7" x14ac:dyDescent="0.3">
      <c r="B162" t="str">
        <f>UPPER(TabCategoria[[#This Row],[Categoria]])&amp;" - "&amp;TabCategoria[[#This Row],[Subcategoria]]</f>
        <v>LAZER - TECLADO</v>
      </c>
      <c r="C162" t="s">
        <v>141</v>
      </c>
      <c r="D162" t="s">
        <v>40</v>
      </c>
      <c r="E162" t="s">
        <v>107</v>
      </c>
      <c r="F162" t="s">
        <v>274</v>
      </c>
      <c r="G162" s="51"/>
    </row>
    <row r="163" spans="2:7" x14ac:dyDescent="0.3">
      <c r="B163" t="str">
        <f>UPPER(TabCategoria[[#This Row],[Categoria]])&amp;" - "&amp;TabCategoria[[#This Row],[Subcategoria]]</f>
        <v>LAZER - ANIVERSARIO DE NAMORO</v>
      </c>
      <c r="C163" t="s">
        <v>141</v>
      </c>
      <c r="D163" t="s">
        <v>40</v>
      </c>
      <c r="E163" t="s">
        <v>107</v>
      </c>
      <c r="F163" t="s">
        <v>275</v>
      </c>
      <c r="G163" s="51"/>
    </row>
    <row r="164" spans="2:7" x14ac:dyDescent="0.3">
      <c r="B164" t="str">
        <f>UPPER(TabCategoria[[#This Row],[Categoria]])&amp;" - "&amp;TabCategoria[[#This Row],[Subcategoria]]</f>
        <v>LAZER - DIA DIA(Yasmin)</v>
      </c>
      <c r="C164" t="s">
        <v>141</v>
      </c>
      <c r="D164" t="s">
        <v>40</v>
      </c>
      <c r="E164" t="s">
        <v>107</v>
      </c>
      <c r="F164" t="s">
        <v>276</v>
      </c>
      <c r="G164" s="51"/>
    </row>
    <row r="165" spans="2:7" x14ac:dyDescent="0.3">
      <c r="B165" t="str">
        <f>UPPER(TabCategoria[[#This Row],[Categoria]])&amp;" - "&amp;TabCategoria[[#This Row],[Subcategoria]]</f>
        <v>LAZER - DROGASIL(YASMIN)</v>
      </c>
      <c r="C165" t="s">
        <v>141</v>
      </c>
      <c r="D165" t="s">
        <v>40</v>
      </c>
      <c r="E165" t="s">
        <v>107</v>
      </c>
      <c r="F165" t="s">
        <v>277</v>
      </c>
      <c r="G165" s="51"/>
    </row>
    <row r="166" spans="2:7" x14ac:dyDescent="0.3">
      <c r="B166" t="str">
        <f>UPPER(TabCategoria[[#This Row],[Categoria]])&amp;" - "&amp;TabCategoria[[#This Row],[Subcategoria]]</f>
        <v>LAZER - TECLADO E MOUSE</v>
      </c>
      <c r="C166" t="s">
        <v>141</v>
      </c>
      <c r="D166" t="s">
        <v>40</v>
      </c>
      <c r="E166" t="s">
        <v>107</v>
      </c>
      <c r="F166" t="s">
        <v>278</v>
      </c>
      <c r="G166" s="51"/>
    </row>
    <row r="167" spans="2:7" x14ac:dyDescent="0.3">
      <c r="B167" t="str">
        <f>UPPER(TabCategoria[[#This Row],[Categoria]])&amp;" - "&amp;TabCategoria[[#This Row],[Subcategoria]]</f>
        <v>LAZER - teclado e mouse</v>
      </c>
      <c r="C167" t="s">
        <v>141</v>
      </c>
      <c r="D167" t="s">
        <v>18</v>
      </c>
      <c r="E167" t="s">
        <v>107</v>
      </c>
      <c r="F167" t="s">
        <v>279</v>
      </c>
      <c r="G167" s="51"/>
    </row>
    <row r="168" spans="2:7" x14ac:dyDescent="0.3">
      <c r="B168" t="str">
        <f>UPPER(TabCategoria[[#This Row],[Categoria]])&amp;" - "&amp;TabCategoria[[#This Row],[Subcategoria]]</f>
        <v>LAZER - ESTRORNO TECLADO E MOUSE</v>
      </c>
      <c r="C168" t="s">
        <v>141</v>
      </c>
      <c r="D168" t="s">
        <v>18</v>
      </c>
      <c r="E168" t="s">
        <v>107</v>
      </c>
      <c r="F168" t="s">
        <v>306</v>
      </c>
      <c r="G168" s="51"/>
    </row>
  </sheetData>
  <conditionalFormatting sqref="I7:L7">
    <cfRule type="expression" dxfId="12" priority="3">
      <formula>AND($J7="Conta",$K7="")</formula>
    </cfRule>
  </conditionalFormatting>
  <conditionalFormatting sqref="K7">
    <cfRule type="cellIs" dxfId="11" priority="4" operator="greaterThan">
      <formula>0</formula>
    </cfRule>
    <cfRule type="cellIs" dxfId="10" priority="5" operator="lessThan">
      <formula>0</formula>
    </cfRule>
  </conditionalFormatting>
  <conditionalFormatting sqref="F144:F167">
    <cfRule type="expression" dxfId="9" priority="1">
      <formula>AND($C144&lt;TODAY(),$H144="Previsto")</formula>
    </cfRule>
    <cfRule type="expression" dxfId="8" priority="2">
      <formula>$H144="Previsto"</formula>
    </cfRule>
  </conditionalFormatting>
  <dataValidations count="4">
    <dataValidation type="list" allowBlank="1" showInputMessage="1" showErrorMessage="1" sqref="J7" xr:uid="{9F9763D4-039A-4740-A3D8-EF34B90BD7A2}">
      <formula1>"Conta,Cartão"</formula1>
    </dataValidation>
    <dataValidation type="list" allowBlank="1" showInputMessage="1" showErrorMessage="1" sqref="D7:D168" xr:uid="{E96EE37C-7E93-4266-94E8-8EFA6832FE98}">
      <formula1>"RECEITA,DESPESA"</formula1>
    </dataValidation>
    <dataValidation type="list" allowBlank="1" showInputMessage="1" showErrorMessage="1" sqref="C7:C168" xr:uid="{DBCAE50E-292C-4F27-A20C-8624876FC366}">
      <formula1>"OPERACIONAL,NÃO OPERACIONAL"</formula1>
    </dataValidation>
    <dataValidation type="list" allowBlank="1" showInputMessage="1" showErrorMessage="1" sqref="F144:F167" xr:uid="{E95ACCD0-A0C1-4B70-8E38-9E4F746F92D6}">
      <formula1>ListaCategoria</formula1>
    </dataValidation>
  </dataValidations>
  <pageMargins left="0.511811024" right="0.511811024" top="0.78740157499999996" bottom="0.78740157499999996" header="0.31496062000000002" footer="0.31496062000000002"/>
  <drawing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45287-00DD-4011-815E-498DC8F0A0E5}">
  <sheetPr codeName="Planilha8"/>
  <dimension ref="B1:AM14"/>
  <sheetViews>
    <sheetView zoomScaleNormal="100" workbookViewId="0"/>
  </sheetViews>
  <sheetFormatPr defaultRowHeight="14.4" x14ac:dyDescent="0.3"/>
  <cols>
    <col min="1" max="1" width="5.5546875" customWidth="1"/>
    <col min="2" max="2" width="17.44140625" bestFit="1" customWidth="1"/>
    <col min="3" max="3" width="14.6640625" bestFit="1" customWidth="1"/>
    <col min="4" max="4" width="13.109375" customWidth="1"/>
    <col min="6" max="6" width="17.44140625" bestFit="1" customWidth="1"/>
    <col min="7" max="7" width="14.6640625" bestFit="1" customWidth="1"/>
    <col min="8" max="8" width="15.77734375" bestFit="1" customWidth="1"/>
    <col min="9" max="10" width="19.5546875" bestFit="1" customWidth="1"/>
    <col min="11" max="11" width="17.44140625" bestFit="1" customWidth="1"/>
    <col min="12" max="12" width="19" bestFit="1" customWidth="1"/>
    <col min="13" max="13" width="9" bestFit="1" customWidth="1"/>
    <col min="14" max="14" width="10.109375" bestFit="1" customWidth="1"/>
    <col min="15" max="15" width="14.88671875" bestFit="1" customWidth="1"/>
    <col min="16" max="16" width="18.88671875" bestFit="1" customWidth="1"/>
    <col min="17" max="17" width="17.44140625" bestFit="1" customWidth="1"/>
    <col min="18" max="18" width="14.6640625" bestFit="1" customWidth="1"/>
    <col min="19" max="19" width="18" bestFit="1" customWidth="1"/>
    <col min="20" max="20" width="15" bestFit="1" customWidth="1"/>
    <col min="21" max="21" width="19.5546875" bestFit="1" customWidth="1"/>
    <col min="22" max="22" width="17.44140625" bestFit="1" customWidth="1"/>
    <col min="23" max="23" width="14.6640625" bestFit="1" customWidth="1"/>
    <col min="24" max="24" width="19.5546875" bestFit="1" customWidth="1"/>
    <col min="25" max="25" width="17.44140625" bestFit="1" customWidth="1"/>
    <col min="26" max="26" width="14.6640625" bestFit="1" customWidth="1"/>
    <col min="27" max="27" width="19.5546875" bestFit="1" customWidth="1"/>
    <col min="28" max="28" width="13.44140625" customWidth="1"/>
    <col min="29" max="29" width="11" customWidth="1"/>
    <col min="30" max="30" width="19.5546875" bestFit="1" customWidth="1"/>
    <col min="31" max="31" width="15.6640625" customWidth="1"/>
    <col min="32" max="32" width="10.6640625" customWidth="1"/>
    <col min="33" max="34" width="19.5546875" customWidth="1"/>
    <col min="35" max="40" width="19.5546875" bestFit="1" customWidth="1"/>
    <col min="41" max="41" width="18" bestFit="1" customWidth="1"/>
    <col min="42" max="42" width="19.5546875" bestFit="1" customWidth="1"/>
    <col min="43" max="43" width="9.109375" bestFit="1" customWidth="1"/>
    <col min="44" max="44" width="10.6640625" bestFit="1" customWidth="1"/>
    <col min="45" max="1643" width="19.5546875" bestFit="1" customWidth="1"/>
    <col min="1644" max="1644" width="10.5546875" bestFit="1" customWidth="1"/>
  </cols>
  <sheetData>
    <row r="1" spans="2:39" x14ac:dyDescent="0.3">
      <c r="B1" s="75" t="s">
        <v>5</v>
      </c>
      <c r="C1" s="74" t="s">
        <v>225</v>
      </c>
      <c r="D1" s="31">
        <f>GETPIVOTDATA("VALOR",$B$4)</f>
        <v>3952</v>
      </c>
      <c r="F1" s="75" t="s">
        <v>5</v>
      </c>
      <c r="G1" s="74" t="s">
        <v>225</v>
      </c>
      <c r="H1" s="31">
        <f>GETPIVOTDATA("VALOR",$F$3)</f>
        <v>2950.2799999999997</v>
      </c>
      <c r="K1" s="75" t="s">
        <v>5</v>
      </c>
      <c r="L1" s="74" t="s">
        <v>225</v>
      </c>
      <c r="Q1" s="75" t="s">
        <v>5</v>
      </c>
      <c r="R1" s="74" t="s">
        <v>225</v>
      </c>
      <c r="V1" s="75" t="s">
        <v>194</v>
      </c>
      <c r="W1" s="74" t="s">
        <v>225</v>
      </c>
      <c r="Y1" s="75" t="s">
        <v>194</v>
      </c>
      <c r="Z1" s="74" t="s">
        <v>225</v>
      </c>
      <c r="AB1" s="75" t="s">
        <v>11</v>
      </c>
      <c r="AC1" s="74" t="s">
        <v>225</v>
      </c>
      <c r="AD1" s="31">
        <f>SUM(TabInst[SALDO ATUAL])</f>
        <v>0</v>
      </c>
      <c r="AE1" s="31" t="s">
        <v>255</v>
      </c>
    </row>
    <row r="2" spans="2:39" x14ac:dyDescent="0.3">
      <c r="B2" s="75" t="s">
        <v>6</v>
      </c>
      <c r="C2" s="74" t="s">
        <v>18</v>
      </c>
      <c r="F2" s="75" t="s">
        <v>6</v>
      </c>
      <c r="G2" s="74" t="s">
        <v>40</v>
      </c>
      <c r="R2" s="31">
        <f>GETPIVOTDATA("SALDO",$Q$3)</f>
        <v>1001.72</v>
      </c>
      <c r="W2" s="31">
        <f>GETPIVOTDATA("Valor",$V$3)</f>
        <v>0</v>
      </c>
      <c r="AE2">
        <f>COUNTIFS(TabInst[TIPO],"Conta")</f>
        <v>0</v>
      </c>
    </row>
    <row r="3" spans="2:39" x14ac:dyDescent="0.3">
      <c r="K3" s="77" t="s">
        <v>246</v>
      </c>
      <c r="L3" s="77" t="s">
        <v>226</v>
      </c>
      <c r="M3" s="93"/>
      <c r="Q3" s="77" t="s">
        <v>227</v>
      </c>
      <c r="R3" s="89" t="s">
        <v>223</v>
      </c>
      <c r="V3" s="77" t="s">
        <v>227</v>
      </c>
      <c r="W3" s="89" t="s">
        <v>228</v>
      </c>
      <c r="Y3" s="77" t="s">
        <v>227</v>
      </c>
      <c r="Z3" s="89" t="s">
        <v>228</v>
      </c>
      <c r="AB3" s="73" t="s">
        <v>227</v>
      </c>
      <c r="AC3" s="74" t="s">
        <v>230</v>
      </c>
      <c r="AI3" t="s">
        <v>231</v>
      </c>
      <c r="AJ3" s="31">
        <f>SUM(TabAAF[Valor])</f>
        <v>0</v>
      </c>
      <c r="AL3">
        <f ca="1">YEAR(TODAY())</f>
        <v>2026</v>
      </c>
      <c r="AM3" t="s">
        <v>207</v>
      </c>
    </row>
    <row r="4" spans="2:39" x14ac:dyDescent="0.3">
      <c r="B4" s="77" t="s">
        <v>227</v>
      </c>
      <c r="C4" s="89" t="s">
        <v>228</v>
      </c>
      <c r="F4" s="77" t="s">
        <v>227</v>
      </c>
      <c r="G4" s="78" t="s">
        <v>228</v>
      </c>
      <c r="H4" s="79" t="s">
        <v>229</v>
      </c>
      <c r="K4" s="77" t="s">
        <v>227</v>
      </c>
      <c r="L4" s="78" t="s">
        <v>40</v>
      </c>
      <c r="M4" s="79" t="s">
        <v>18</v>
      </c>
      <c r="Q4" s="80">
        <v>2026</v>
      </c>
      <c r="R4" s="90">
        <v>1001.72</v>
      </c>
      <c r="V4" s="86" t="s">
        <v>222</v>
      </c>
      <c r="W4" s="92"/>
      <c r="Y4" s="86" t="s">
        <v>222</v>
      </c>
      <c r="Z4" s="92"/>
      <c r="AE4" s="65" t="str">
        <f>IF(AB4&lt;&gt;"",AB4,"")</f>
        <v/>
      </c>
      <c r="AF4" s="62" t="str">
        <f>IF(AC4&lt;&gt;"",AC4,"")</f>
        <v/>
      </c>
      <c r="AG4" s="18"/>
      <c r="AI4" t="s">
        <v>232</v>
      </c>
      <c r="AJ4" s="31">
        <f>SUM(TabPAI[Valor])</f>
        <v>0</v>
      </c>
      <c r="AL4">
        <f ca="1">AL3+1</f>
        <v>2027</v>
      </c>
      <c r="AM4" t="s">
        <v>207</v>
      </c>
    </row>
    <row r="5" spans="2:39" x14ac:dyDescent="0.3">
      <c r="B5" s="80" t="s">
        <v>19</v>
      </c>
      <c r="C5" s="90">
        <v>2927</v>
      </c>
      <c r="F5" s="80" t="s">
        <v>84</v>
      </c>
      <c r="G5" s="81">
        <v>60</v>
      </c>
      <c r="H5" s="82">
        <v>0</v>
      </c>
      <c r="K5" s="80">
        <v>2026</v>
      </c>
      <c r="L5" s="81">
        <v>24686.539999999994</v>
      </c>
      <c r="M5" s="94">
        <v>33248.57</v>
      </c>
      <c r="Q5" s="95" t="s">
        <v>331</v>
      </c>
      <c r="R5" s="91">
        <v>1001.72</v>
      </c>
      <c r="AE5" s="66" t="str">
        <f t="shared" ref="AE5:AE8" si="0">IF(AB5&lt;&gt;"",AB5,"")</f>
        <v/>
      </c>
      <c r="AF5" s="63" t="str">
        <f t="shared" ref="AF5:AF8" si="1">IF(AC5&lt;&gt;"",AC5,"")</f>
        <v/>
      </c>
      <c r="AG5" s="18"/>
      <c r="AI5" t="s">
        <v>233</v>
      </c>
      <c r="AJ5" s="31">
        <f>SUM(TabDPF[Saldo devedor])</f>
        <v>0</v>
      </c>
      <c r="AL5">
        <f ca="1">AL4+1</f>
        <v>2028</v>
      </c>
      <c r="AM5" t="s">
        <v>205</v>
      </c>
    </row>
    <row r="6" spans="2:39" x14ac:dyDescent="0.3">
      <c r="B6" s="83" t="s">
        <v>142</v>
      </c>
      <c r="C6" s="91">
        <v>1025</v>
      </c>
      <c r="F6" s="83" t="s">
        <v>56</v>
      </c>
      <c r="G6" s="84">
        <v>125.9</v>
      </c>
      <c r="H6" s="85">
        <v>0</v>
      </c>
      <c r="K6" s="95" t="s">
        <v>356</v>
      </c>
      <c r="L6" s="84">
        <v>3498.3199999999997</v>
      </c>
      <c r="M6" s="96">
        <v>3661.57</v>
      </c>
      <c r="Q6" s="86" t="s">
        <v>222</v>
      </c>
      <c r="R6" s="92">
        <v>1001.72</v>
      </c>
      <c r="AE6" s="66" t="str">
        <f t="shared" si="0"/>
        <v/>
      </c>
      <c r="AF6" s="63" t="str">
        <f t="shared" si="1"/>
        <v/>
      </c>
      <c r="AG6" s="18"/>
      <c r="AI6" t="s">
        <v>234</v>
      </c>
      <c r="AJ6" s="31">
        <f>SUM(TabPAI[Saldo devedor])</f>
        <v>0</v>
      </c>
      <c r="AL6">
        <f ca="1">AL5+1</f>
        <v>2029</v>
      </c>
      <c r="AM6" t="s">
        <v>205</v>
      </c>
    </row>
    <row r="7" spans="2:39" x14ac:dyDescent="0.3">
      <c r="B7" s="86" t="s">
        <v>222</v>
      </c>
      <c r="C7" s="92">
        <v>3952</v>
      </c>
      <c r="F7" s="83" t="s">
        <v>91</v>
      </c>
      <c r="G7" s="84">
        <v>137</v>
      </c>
      <c r="H7" s="85">
        <v>0</v>
      </c>
      <c r="K7" s="95" t="s">
        <v>357</v>
      </c>
      <c r="L7" s="84">
        <v>6748.66</v>
      </c>
      <c r="M7" s="96">
        <v>8000</v>
      </c>
      <c r="AE7" s="66" t="str">
        <f t="shared" si="0"/>
        <v/>
      </c>
      <c r="AF7" s="63" t="str">
        <f t="shared" si="1"/>
        <v/>
      </c>
      <c r="AG7" s="18"/>
      <c r="AI7" t="s">
        <v>204</v>
      </c>
      <c r="AJ7" s="31">
        <f>AJ3+AJ4</f>
        <v>0</v>
      </c>
      <c r="AL7">
        <f ca="1">AL6+1</f>
        <v>2030</v>
      </c>
      <c r="AM7" t="s">
        <v>206</v>
      </c>
    </row>
    <row r="8" spans="2:39" x14ac:dyDescent="0.3">
      <c r="F8" s="83" t="s">
        <v>71</v>
      </c>
      <c r="G8" s="84">
        <v>150</v>
      </c>
      <c r="H8" s="85">
        <v>0</v>
      </c>
      <c r="K8" s="95" t="s">
        <v>333</v>
      </c>
      <c r="L8" s="84">
        <v>2600.2799999999997</v>
      </c>
      <c r="M8" s="96">
        <v>3000</v>
      </c>
      <c r="AE8" s="66" t="str">
        <f t="shared" si="0"/>
        <v/>
      </c>
      <c r="AF8" s="63" t="str">
        <f t="shared" si="1"/>
        <v/>
      </c>
      <c r="AG8" s="18"/>
      <c r="AI8" t="s">
        <v>235</v>
      </c>
      <c r="AJ8" s="31">
        <f>AJ5+AJ6</f>
        <v>0</v>
      </c>
      <c r="AL8">
        <f ca="1">AL7+1</f>
        <v>2031</v>
      </c>
      <c r="AM8" t="s">
        <v>206</v>
      </c>
    </row>
    <row r="9" spans="2:39" x14ac:dyDescent="0.3">
      <c r="F9" s="83" t="s">
        <v>41</v>
      </c>
      <c r="G9" s="84">
        <v>250</v>
      </c>
      <c r="H9" s="85">
        <v>0</v>
      </c>
      <c r="K9" s="95" t="s">
        <v>331</v>
      </c>
      <c r="L9" s="84">
        <v>2950.2799999999997</v>
      </c>
      <c r="M9" s="96">
        <v>3952</v>
      </c>
      <c r="AE9" s="67" t="str">
        <f>IF(AE2&gt;5,"Demais Bancos","")</f>
        <v/>
      </c>
      <c r="AF9" s="64" t="str">
        <f>IF(AE2&gt;5,SUM(TabInst[SALDO ATUAL])-SUM(AF4:AF8),"")</f>
        <v/>
      </c>
      <c r="AI9" t="s">
        <v>236</v>
      </c>
      <c r="AJ9" s="31">
        <f>AJ7-AJ8</f>
        <v>0</v>
      </c>
    </row>
    <row r="10" spans="2:39" x14ac:dyDescent="0.3">
      <c r="F10" s="83" t="s">
        <v>107</v>
      </c>
      <c r="G10" s="84">
        <v>897.69999999999993</v>
      </c>
      <c r="H10" s="85">
        <v>0</v>
      </c>
      <c r="K10" s="95" t="s">
        <v>358</v>
      </c>
      <c r="L10" s="84">
        <v>2480.2799999999997</v>
      </c>
      <c r="M10" s="96">
        <v>2927</v>
      </c>
    </row>
    <row r="11" spans="2:39" x14ac:dyDescent="0.3">
      <c r="F11" s="83" t="s">
        <v>165</v>
      </c>
      <c r="G11" s="84">
        <v>1329.68</v>
      </c>
      <c r="H11" s="85">
        <v>0</v>
      </c>
      <c r="K11" s="95" t="s">
        <v>359</v>
      </c>
      <c r="L11" s="84">
        <v>2480.2799999999997</v>
      </c>
      <c r="M11" s="96">
        <v>2927</v>
      </c>
    </row>
    <row r="12" spans="2:39" x14ac:dyDescent="0.3">
      <c r="F12" s="86" t="s">
        <v>222</v>
      </c>
      <c r="G12" s="87">
        <v>2950.2799999999997</v>
      </c>
      <c r="H12" s="88">
        <v>0</v>
      </c>
      <c r="K12" s="95" t="s">
        <v>360</v>
      </c>
      <c r="L12" s="84">
        <v>1309.48</v>
      </c>
      <c r="M12" s="96">
        <v>2927</v>
      </c>
    </row>
    <row r="13" spans="2:39" x14ac:dyDescent="0.3">
      <c r="K13" s="95" t="s">
        <v>332</v>
      </c>
      <c r="L13" s="84">
        <v>1309.48</v>
      </c>
      <c r="M13" s="96">
        <v>2927</v>
      </c>
    </row>
    <row r="14" spans="2:39" x14ac:dyDescent="0.3">
      <c r="K14" s="97" t="s">
        <v>361</v>
      </c>
      <c r="L14" s="98">
        <v>1309.48</v>
      </c>
      <c r="M14" s="99">
        <v>2927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19</vt:i4>
      </vt:variant>
    </vt:vector>
  </HeadingPairs>
  <TitlesOfParts>
    <vt:vector size="27" baseType="lpstr">
      <vt:lpstr>DASHBOARD</vt:lpstr>
      <vt:lpstr>FLUXO</vt:lpstr>
      <vt:lpstr>LANCAMENTO</vt:lpstr>
      <vt:lpstr>PATRIMONIO</vt:lpstr>
      <vt:lpstr>PROJETOS</vt:lpstr>
      <vt:lpstr>REGISTRO</vt:lpstr>
      <vt:lpstr>CONFIGURACAO</vt:lpstr>
      <vt:lpstr>BASE_APOIO</vt:lpstr>
      <vt:lpstr>ClassProj</vt:lpstr>
      <vt:lpstr>Despesa</vt:lpstr>
      <vt:lpstr>GastoCartao</vt:lpstr>
      <vt:lpstr>ListaCategoria</vt:lpstr>
      <vt:lpstr>ListaCentroCusto</vt:lpstr>
      <vt:lpstr>ListaInst</vt:lpstr>
      <vt:lpstr>ListaInst1</vt:lpstr>
      <vt:lpstr>ListaPessoas</vt:lpstr>
      <vt:lpstr>OrcamentoMensal</vt:lpstr>
      <vt:lpstr>PercApos</vt:lpstr>
      <vt:lpstr>PercCur</vt:lpstr>
      <vt:lpstr>PercLon</vt:lpstr>
      <vt:lpstr>PercMed</vt:lpstr>
      <vt:lpstr>PercRes</vt:lpstr>
      <vt:lpstr>Receita</vt:lpstr>
      <vt:lpstr>ResumoBancos</vt:lpstr>
      <vt:lpstr>Saldo</vt:lpstr>
      <vt:lpstr>SaldoTotal</vt:lpstr>
      <vt:lpstr>ValorAposen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Triplicar Finanças</dc:creator>
  <cp:lastModifiedBy>Ff6259</cp:lastModifiedBy>
  <dcterms:created xsi:type="dcterms:W3CDTF">2025-07-02T09:52:30Z</dcterms:created>
  <dcterms:modified xsi:type="dcterms:W3CDTF">2026-06-22T21:07:55Z</dcterms:modified>
</cp:coreProperties>
</file>